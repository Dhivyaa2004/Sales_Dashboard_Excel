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24226"/>
  <mc:AlternateContent xmlns:mc="http://schemas.openxmlformats.org/markup-compatibility/2006">
    <mc:Choice Requires="x15">
      <x15ac:absPath xmlns:x15ac="http://schemas.microsoft.com/office/spreadsheetml/2010/11/ac" url="C:\Users\DhivyaaSuresh\Desktop\EXCEL\PROJECTS\"/>
    </mc:Choice>
  </mc:AlternateContent>
  <xr:revisionPtr revIDLastSave="0" documentId="8_{A5AF2200-8F29-4C60-BDDD-84416C4F715E}" xr6:coauthVersionLast="47" xr6:coauthVersionMax="47" xr10:uidLastSave="{00000000-0000-0000-0000-000000000000}"/>
  <bookViews>
    <workbookView xWindow="-108" yWindow="-108" windowWidth="23256" windowHeight="12456" xr2:uid="{00000000-000D-0000-FFFF-FFFF00000000}"/>
  </bookViews>
  <sheets>
    <sheet name="DASHBOARD" sheetId="5" r:id="rId1"/>
    <sheet name="INSIGHTS" sheetId="6" r:id="rId2"/>
    <sheet name="CHART" sheetId="3" r:id="rId3"/>
    <sheet name="PIVOT" sheetId="2" r:id="rId4"/>
    <sheet name="DATA" sheetId="1" r:id="rId5"/>
  </sheets>
  <definedNames>
    <definedName name="Slicer_Category">#N/A</definedName>
    <definedName name="Slicer_Country">#N/A</definedName>
    <definedName name="Slicer_Months__Date">#N/A</definedName>
    <definedName name="Slicer_Payment_Mode">#N/A</definedName>
    <definedName name="Slicer_Product">#N/A</definedName>
    <definedName name="Slicer_Salespers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02" i="1" l="1"/>
  <c r="L103" i="1"/>
  <c r="L104" i="1"/>
  <c r="L105" i="1"/>
  <c r="L106" i="1"/>
  <c r="L107" i="1"/>
  <c r="L108" i="1"/>
  <c r="L109" i="1"/>
  <c r="L110" i="1"/>
  <c r="L111" i="1"/>
  <c r="L112" i="1"/>
  <c r="M110" i="1"/>
  <c r="N110" i="1" s="1"/>
  <c r="M111" i="1"/>
  <c r="N111" i="1" s="1"/>
  <c r="M112" i="1"/>
  <c r="N112" i="1" s="1"/>
  <c r="K112" i="1"/>
  <c r="K111" i="1"/>
  <c r="K110" i="1"/>
  <c r="K109" i="1"/>
  <c r="M109" i="1" s="1"/>
  <c r="N109" i="1" s="1"/>
  <c r="K108" i="1"/>
  <c r="M108" i="1" s="1"/>
  <c r="N108" i="1" s="1"/>
  <c r="K107" i="1"/>
  <c r="M107" i="1" s="1"/>
  <c r="N107" i="1" s="1"/>
  <c r="K106" i="1"/>
  <c r="M106" i="1" s="1"/>
  <c r="N106" i="1" s="1"/>
  <c r="K105" i="1"/>
  <c r="M105" i="1" s="1"/>
  <c r="N105" i="1" s="1"/>
  <c r="K104" i="1"/>
  <c r="M104" i="1" s="1"/>
  <c r="N104" i="1" s="1"/>
  <c r="K103" i="1"/>
  <c r="M103" i="1" s="1"/>
  <c r="N103" i="1" s="1"/>
  <c r="K102" i="1"/>
  <c r="M102" i="1" s="1"/>
  <c r="N102" i="1" s="1"/>
  <c r="F20" i="6"/>
  <c r="F12" i="6"/>
  <c r="B23" i="6"/>
  <c r="F10" i="6"/>
  <c r="F11" i="6"/>
  <c r="B11" i="6"/>
  <c r="B22" i="6"/>
  <c r="B10" i="6"/>
  <c r="B21" i="6"/>
  <c r="B9" i="6"/>
  <c r="Q12" i="1"/>
  <c r="Q10" i="1"/>
  <c r="Q6"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K2" i="1"/>
  <c r="M2" i="1" s="1"/>
  <c r="N2" i="1" s="1"/>
  <c r="K3" i="1"/>
  <c r="M3" i="1" s="1"/>
  <c r="N3" i="1" s="1"/>
  <c r="K4" i="1"/>
  <c r="M4" i="1" s="1"/>
  <c r="N4" i="1" s="1"/>
  <c r="K5" i="1"/>
  <c r="M5" i="1" s="1"/>
  <c r="N5" i="1" s="1"/>
  <c r="K6" i="1"/>
  <c r="M6" i="1" s="1"/>
  <c r="N6" i="1" s="1"/>
  <c r="K7" i="1"/>
  <c r="M7" i="1" s="1"/>
  <c r="N7" i="1" s="1"/>
  <c r="K8" i="1"/>
  <c r="M8" i="1" s="1"/>
  <c r="N8" i="1" s="1"/>
  <c r="K9" i="1"/>
  <c r="M9" i="1" s="1"/>
  <c r="N9" i="1" s="1"/>
  <c r="K10" i="1"/>
  <c r="M10" i="1" s="1"/>
  <c r="N10" i="1" s="1"/>
  <c r="K11" i="1"/>
  <c r="M11" i="1" s="1"/>
  <c r="N11" i="1" s="1"/>
  <c r="K12" i="1"/>
  <c r="M12" i="1" s="1"/>
  <c r="N12" i="1" s="1"/>
  <c r="K13" i="1"/>
  <c r="M13" i="1" s="1"/>
  <c r="N13" i="1" s="1"/>
  <c r="K14" i="1"/>
  <c r="M14" i="1" s="1"/>
  <c r="N14" i="1" s="1"/>
  <c r="K15" i="1"/>
  <c r="M15" i="1" s="1"/>
  <c r="N15" i="1" s="1"/>
  <c r="K16" i="1"/>
  <c r="M16" i="1" s="1"/>
  <c r="N16" i="1" s="1"/>
  <c r="K17" i="1"/>
  <c r="M17" i="1" s="1"/>
  <c r="N17" i="1" s="1"/>
  <c r="K18" i="1"/>
  <c r="M18" i="1" s="1"/>
  <c r="N18" i="1" s="1"/>
  <c r="K19" i="1"/>
  <c r="M19" i="1" s="1"/>
  <c r="N19" i="1" s="1"/>
  <c r="K20" i="1"/>
  <c r="M20" i="1" s="1"/>
  <c r="N20" i="1" s="1"/>
  <c r="K21" i="1"/>
  <c r="M21" i="1" s="1"/>
  <c r="N21" i="1" s="1"/>
  <c r="K22" i="1"/>
  <c r="K23" i="1"/>
  <c r="M23" i="1" s="1"/>
  <c r="N23" i="1" s="1"/>
  <c r="K24" i="1"/>
  <c r="M24" i="1" s="1"/>
  <c r="N24" i="1" s="1"/>
  <c r="K25" i="1"/>
  <c r="M25" i="1" s="1"/>
  <c r="N25" i="1" s="1"/>
  <c r="K26" i="1"/>
  <c r="M26" i="1" s="1"/>
  <c r="N26" i="1" s="1"/>
  <c r="K27" i="1"/>
  <c r="M27" i="1" s="1"/>
  <c r="N27" i="1" s="1"/>
  <c r="K28" i="1"/>
  <c r="M28" i="1" s="1"/>
  <c r="N28" i="1" s="1"/>
  <c r="K29" i="1"/>
  <c r="M29" i="1" s="1"/>
  <c r="N29" i="1" s="1"/>
  <c r="K30" i="1"/>
  <c r="M30" i="1" s="1"/>
  <c r="N30" i="1" s="1"/>
  <c r="K31" i="1"/>
  <c r="M31" i="1" s="1"/>
  <c r="N31" i="1" s="1"/>
  <c r="K32" i="1"/>
  <c r="M32" i="1" s="1"/>
  <c r="N32" i="1" s="1"/>
  <c r="K33" i="1"/>
  <c r="M33" i="1" s="1"/>
  <c r="N33" i="1" s="1"/>
  <c r="K34" i="1"/>
  <c r="M34" i="1" s="1"/>
  <c r="N34" i="1" s="1"/>
  <c r="K35" i="1"/>
  <c r="M35" i="1" s="1"/>
  <c r="N35" i="1" s="1"/>
  <c r="K36" i="1"/>
  <c r="M36" i="1" s="1"/>
  <c r="N36" i="1" s="1"/>
  <c r="K37" i="1"/>
  <c r="M37" i="1" s="1"/>
  <c r="N37" i="1" s="1"/>
  <c r="K38" i="1"/>
  <c r="M38" i="1" s="1"/>
  <c r="N38" i="1" s="1"/>
  <c r="K39" i="1"/>
  <c r="M39" i="1" s="1"/>
  <c r="N39" i="1" s="1"/>
  <c r="K40" i="1"/>
  <c r="M40" i="1" s="1"/>
  <c r="N40" i="1" s="1"/>
  <c r="K41" i="1"/>
  <c r="M41" i="1" s="1"/>
  <c r="N41" i="1" s="1"/>
  <c r="K42" i="1"/>
  <c r="M42" i="1" s="1"/>
  <c r="N42" i="1" s="1"/>
  <c r="K43" i="1"/>
  <c r="M43" i="1" s="1"/>
  <c r="N43" i="1" s="1"/>
  <c r="K44" i="1"/>
  <c r="M44" i="1" s="1"/>
  <c r="N44" i="1" s="1"/>
  <c r="K45" i="1"/>
  <c r="M45" i="1" s="1"/>
  <c r="N45" i="1" s="1"/>
  <c r="K46" i="1"/>
  <c r="M46" i="1" s="1"/>
  <c r="N46" i="1" s="1"/>
  <c r="K47" i="1"/>
  <c r="M47" i="1" s="1"/>
  <c r="N47" i="1" s="1"/>
  <c r="K48" i="1"/>
  <c r="M48" i="1" s="1"/>
  <c r="N48" i="1" s="1"/>
  <c r="K49" i="1"/>
  <c r="M49" i="1" s="1"/>
  <c r="N49" i="1" s="1"/>
  <c r="K50" i="1"/>
  <c r="M50" i="1" s="1"/>
  <c r="N50" i="1" s="1"/>
  <c r="K51" i="1"/>
  <c r="M51" i="1" s="1"/>
  <c r="N51" i="1" s="1"/>
  <c r="K52" i="1"/>
  <c r="M52" i="1" s="1"/>
  <c r="N52" i="1" s="1"/>
  <c r="K53" i="1"/>
  <c r="M53" i="1" s="1"/>
  <c r="N53" i="1" s="1"/>
  <c r="K54" i="1"/>
  <c r="M54" i="1" s="1"/>
  <c r="N54" i="1" s="1"/>
  <c r="K55" i="1"/>
  <c r="M55" i="1" s="1"/>
  <c r="N55" i="1" s="1"/>
  <c r="K56" i="1"/>
  <c r="M56" i="1" s="1"/>
  <c r="N56" i="1" s="1"/>
  <c r="K57" i="1"/>
  <c r="M57" i="1" s="1"/>
  <c r="N57" i="1" s="1"/>
  <c r="K58" i="1"/>
  <c r="M58" i="1" s="1"/>
  <c r="N58" i="1" s="1"/>
  <c r="K59" i="1"/>
  <c r="M59" i="1" s="1"/>
  <c r="N59" i="1" s="1"/>
  <c r="K60" i="1"/>
  <c r="M60" i="1" s="1"/>
  <c r="N60" i="1" s="1"/>
  <c r="K61" i="1"/>
  <c r="M61" i="1" s="1"/>
  <c r="N61" i="1" s="1"/>
  <c r="K62" i="1"/>
  <c r="M62" i="1" s="1"/>
  <c r="N62" i="1" s="1"/>
  <c r="K63" i="1"/>
  <c r="K64" i="1"/>
  <c r="M64" i="1" s="1"/>
  <c r="N64" i="1" s="1"/>
  <c r="K65" i="1"/>
  <c r="M65" i="1" s="1"/>
  <c r="N65" i="1" s="1"/>
  <c r="K66" i="1"/>
  <c r="M66" i="1" s="1"/>
  <c r="N66" i="1" s="1"/>
  <c r="K67" i="1"/>
  <c r="M67" i="1" s="1"/>
  <c r="N67" i="1" s="1"/>
  <c r="K68" i="1"/>
  <c r="M68" i="1" s="1"/>
  <c r="N68" i="1" s="1"/>
  <c r="K69" i="1"/>
  <c r="M69" i="1" s="1"/>
  <c r="N69" i="1" s="1"/>
  <c r="K70" i="1"/>
  <c r="M70" i="1" s="1"/>
  <c r="N70" i="1" s="1"/>
  <c r="K71" i="1"/>
  <c r="M71" i="1" s="1"/>
  <c r="N71" i="1" s="1"/>
  <c r="K72" i="1"/>
  <c r="M72" i="1" s="1"/>
  <c r="N72" i="1" s="1"/>
  <c r="K73" i="1"/>
  <c r="M73" i="1" s="1"/>
  <c r="N73" i="1" s="1"/>
  <c r="K74" i="1"/>
  <c r="M74" i="1" s="1"/>
  <c r="N74" i="1" s="1"/>
  <c r="K75" i="1"/>
  <c r="M75" i="1" s="1"/>
  <c r="N75" i="1" s="1"/>
  <c r="K76" i="1"/>
  <c r="M76" i="1" s="1"/>
  <c r="N76" i="1" s="1"/>
  <c r="K77" i="1"/>
  <c r="M77" i="1" s="1"/>
  <c r="N77" i="1" s="1"/>
  <c r="K78" i="1"/>
  <c r="M78" i="1" s="1"/>
  <c r="N78" i="1" s="1"/>
  <c r="K79" i="1"/>
  <c r="M79" i="1" s="1"/>
  <c r="N79" i="1" s="1"/>
  <c r="K80" i="1"/>
  <c r="M80" i="1" s="1"/>
  <c r="N80" i="1" s="1"/>
  <c r="K81" i="1"/>
  <c r="M81" i="1" s="1"/>
  <c r="N81" i="1" s="1"/>
  <c r="K82" i="1"/>
  <c r="M82" i="1" s="1"/>
  <c r="N82" i="1" s="1"/>
  <c r="K83" i="1"/>
  <c r="M83" i="1" s="1"/>
  <c r="N83" i="1" s="1"/>
  <c r="K84" i="1"/>
  <c r="M84" i="1" s="1"/>
  <c r="N84" i="1" s="1"/>
  <c r="K85" i="1"/>
  <c r="M85" i="1" s="1"/>
  <c r="N85" i="1" s="1"/>
  <c r="K86" i="1"/>
  <c r="M86" i="1" s="1"/>
  <c r="N86" i="1" s="1"/>
  <c r="K87" i="1"/>
  <c r="M87" i="1" s="1"/>
  <c r="N87" i="1" s="1"/>
  <c r="K88" i="1"/>
  <c r="M88" i="1" s="1"/>
  <c r="N88" i="1" s="1"/>
  <c r="K89" i="1"/>
  <c r="M89" i="1" s="1"/>
  <c r="N89" i="1" s="1"/>
  <c r="K90" i="1"/>
  <c r="M90" i="1" s="1"/>
  <c r="N90" i="1" s="1"/>
  <c r="K91" i="1"/>
  <c r="M91" i="1" s="1"/>
  <c r="N91" i="1" s="1"/>
  <c r="K92" i="1"/>
  <c r="M92" i="1" s="1"/>
  <c r="N92" i="1" s="1"/>
  <c r="K93" i="1"/>
  <c r="M93" i="1" s="1"/>
  <c r="N93" i="1" s="1"/>
  <c r="K94" i="1"/>
  <c r="M94" i="1" s="1"/>
  <c r="N94" i="1" s="1"/>
  <c r="K95" i="1"/>
  <c r="M95" i="1" s="1"/>
  <c r="N95" i="1" s="1"/>
  <c r="K96" i="1"/>
  <c r="M96" i="1" s="1"/>
  <c r="N96" i="1" s="1"/>
  <c r="K97" i="1"/>
  <c r="M97" i="1" s="1"/>
  <c r="N97" i="1" s="1"/>
  <c r="K98" i="1"/>
  <c r="M98" i="1" s="1"/>
  <c r="N98" i="1" s="1"/>
  <c r="K99" i="1"/>
  <c r="M99" i="1" s="1"/>
  <c r="N99" i="1" s="1"/>
  <c r="K100" i="1"/>
  <c r="M100" i="1" s="1"/>
  <c r="N100" i="1" s="1"/>
  <c r="K101" i="1"/>
  <c r="M101" i="1" s="1"/>
  <c r="N101" i="1" s="1"/>
  <c r="F18" i="6" l="1"/>
  <c r="M22" i="1"/>
  <c r="N22" i="1" s="1"/>
  <c r="M63" i="1"/>
  <c r="N63" i="1"/>
  <c r="Q8" i="1"/>
  <c r="T8" i="1" s="1"/>
  <c r="T10" i="1" s="1"/>
</calcChain>
</file>

<file path=xl/sharedStrings.xml><?xml version="1.0" encoding="utf-8"?>
<sst xmlns="http://schemas.openxmlformats.org/spreadsheetml/2006/main" count="776" uniqueCount="64">
  <si>
    <t>Date</t>
  </si>
  <si>
    <t>Product</t>
  </si>
  <si>
    <t>Category</t>
  </si>
  <si>
    <t>Salesperson</t>
  </si>
  <si>
    <t>Country</t>
  </si>
  <si>
    <t>Sales Type</t>
  </si>
  <si>
    <t>Payment Mode</t>
  </si>
  <si>
    <t>Units Sold</t>
  </si>
  <si>
    <t>Sales Amount</t>
  </si>
  <si>
    <t>Profit</t>
  </si>
  <si>
    <t>Profit %</t>
  </si>
  <si>
    <t>Watch</t>
  </si>
  <si>
    <t>Laptop</t>
  </si>
  <si>
    <t>Shoes</t>
  </si>
  <si>
    <t>Bag</t>
  </si>
  <si>
    <t>Phone</t>
  </si>
  <si>
    <t>Accessories</t>
  </si>
  <si>
    <t>Electronics</t>
  </si>
  <si>
    <t>Fashion</t>
  </si>
  <si>
    <t>Priya</t>
  </si>
  <si>
    <t>Rahul</t>
  </si>
  <si>
    <t>Ravi</t>
  </si>
  <si>
    <t>Amit</t>
  </si>
  <si>
    <t>Sneha</t>
  </si>
  <si>
    <t>India</t>
  </si>
  <si>
    <t>UK</t>
  </si>
  <si>
    <t>USA</t>
  </si>
  <si>
    <t>Online</t>
  </si>
  <si>
    <t>Wholesale</t>
  </si>
  <si>
    <t>Direct</t>
  </si>
  <si>
    <t>Card</t>
  </si>
  <si>
    <t>UPI</t>
  </si>
  <si>
    <t>Cash</t>
  </si>
  <si>
    <t>S.P / UNIT</t>
  </si>
  <si>
    <t>C.P / UNIT</t>
  </si>
  <si>
    <t>TOTAL COST WHEN BOUGHT</t>
  </si>
  <si>
    <t>Sum of Sales Amount</t>
  </si>
  <si>
    <t>Sum of Profit</t>
  </si>
  <si>
    <t>Sum of Units Sold</t>
  </si>
  <si>
    <t>Count of Product</t>
  </si>
  <si>
    <t>Grand Total</t>
  </si>
  <si>
    <t>Jan</t>
  </si>
  <si>
    <t>Feb</t>
  </si>
  <si>
    <t>Mar</t>
  </si>
  <si>
    <t>Apr</t>
  </si>
  <si>
    <t>May</t>
  </si>
  <si>
    <t>Jun</t>
  </si>
  <si>
    <t>MONTH</t>
  </si>
  <si>
    <t>COUNTRY</t>
  </si>
  <si>
    <t>PRODUCT</t>
  </si>
  <si>
    <t>SALESPERSON</t>
  </si>
  <si>
    <t>CATEGORY</t>
  </si>
  <si>
    <t>PAYEMENT MODE</t>
  </si>
  <si>
    <t>SALES TYPE</t>
  </si>
  <si>
    <t>TOTAL SALES</t>
  </si>
  <si>
    <t>TOTAL PROFIT</t>
  </si>
  <si>
    <t>UNITS SOLD</t>
  </si>
  <si>
    <t>AVERAGE SALES</t>
  </si>
  <si>
    <t>HIGH SALES</t>
  </si>
  <si>
    <t>INDEX</t>
  </si>
  <si>
    <t>TEXT TO PRINT</t>
  </si>
  <si>
    <t>TEXT</t>
  </si>
  <si>
    <t>HIGH</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</si>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</sst>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 &quot;₹&quot;\ * #,##0_ ;_ &quot;₹&quot;\ * \-#,##0_ ;_ &quot;₹&quot;\ * &quot;-&quot;_ ;_ @_ "/>
    <numFmt numFmtId="44" formatCode="_ &quot;₹&quot;\ * #,##0.00_ ;_ &quot;₹&quot;\ * \-#,##0.00_ ;_ &quot;₹&quot;\ * &quot;-&quot;??_ ;_ @_ "/>
    <numFmt numFmtId="164" formatCode="&quot;₹&quot;\ #,##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bottom style="thin">
        <color auto="1"/>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7">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0"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xf numFmtId="42" fontId="0" fillId="0" borderId="0" xfId="1" applyNumberFormat="1" applyFont="1"/>
    <xf numFmtId="0" fontId="1" fillId="2" borderId="2" xfId="0" applyFont="1" applyFill="1" applyBorder="1"/>
    <xf numFmtId="0" fontId="1" fillId="0" borderId="2" xfId="0" applyFont="1" applyBorder="1" applyAlignment="1">
      <alignment horizontal="left"/>
    </xf>
    <xf numFmtId="164" fontId="1" fillId="0" borderId="2" xfId="0" applyNumberFormat="1" applyFont="1" applyBorder="1"/>
    <xf numFmtId="0" fontId="1" fillId="2" borderId="3" xfId="0" applyFont="1" applyFill="1" applyBorder="1" applyAlignment="1">
      <alignment horizontal="left"/>
    </xf>
    <xf numFmtId="164" fontId="1" fillId="2" borderId="3" xfId="0" applyNumberFormat="1" applyFont="1" applyFill="1" applyBorder="1"/>
    <xf numFmtId="0" fontId="1" fillId="0" borderId="0" xfId="0" applyFont="1" applyAlignment="1">
      <alignment horizontal="left"/>
    </xf>
    <xf numFmtId="9" fontId="0" fillId="0" borderId="0" xfId="2" applyFont="1"/>
    <xf numFmtId="10" fontId="0" fillId="0" borderId="0" xfId="2" applyNumberFormat="1" applyFont="1"/>
  </cellXfs>
  <cellStyles count="3">
    <cellStyle name="Currency" xfId="1" builtinId="4"/>
    <cellStyle name="Normal" xfId="0" builtinId="0"/>
    <cellStyle name="Percent" xfId="2" builtinId="5"/>
  </cellStyles>
  <dxfs count="9">
    <dxf>
      <numFmt numFmtId="14" formatCode="0.00%"/>
    </dxf>
    <dxf>
      <numFmt numFmtId="164" formatCode="&quot;₹&quot;\ #,##0"/>
    </dxf>
    <dxf>
      <numFmt numFmtId="164" formatCode="&quot;₹&quot;\ #,##0"/>
    </dxf>
    <dxf>
      <numFmt numFmtId="164" formatCode="&quot;₹&quot;\ #,##0"/>
    </dxf>
    <dxf>
      <numFmt numFmtId="164" formatCode="&quot;₹&quot;\ #,##0"/>
    </dxf>
    <dxf>
      <numFmt numFmtId="164" formatCode="&quot;₹&quot;\ #,##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[Sales_Performance_Dashboard.xlsx]PIVOT!PivotTable7</c:name>
    <c:fmtId val="17"/>
  </c:pivotSource>
  <c:chart>
    <c:title>
      <c:tx>
        <c:rich>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r>
              <a:rPr lang="en-US" sz="1000" b="1">
                <a:solidFill>
                  <a:schemeClr val="accent4">
                    <a:lumMod val="50000"/>
                  </a:schemeClr>
                </a:solidFill>
              </a:rPr>
              <a:t>TOTAL</a:t>
            </a:r>
            <a:r>
              <a:rPr lang="en-US" sz="1000" b="1" baseline="0">
                <a:solidFill>
                  <a:schemeClr val="accent4">
                    <a:lumMod val="50000"/>
                  </a:schemeClr>
                </a:solidFill>
              </a:rPr>
              <a:t> SALES BY CATEGORY</a:t>
            </a:r>
            <a:endParaRPr lang="en-US" sz="1000"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w="19050">
            <a:solidFill>
              <a:schemeClr val="lt1"/>
            </a:solidFill>
          </a:ln>
          <a:effectLst/>
        </c:spPr>
        <c:dLbl>
          <c:idx val="0"/>
          <c:layout>
            <c:manualLayout>
              <c:x val="0.194444444444444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4">
              <a:lumMod val="50000"/>
            </a:schemeClr>
          </a:solidFill>
          <a:ln w="19050">
            <a:solidFill>
              <a:schemeClr val="lt1"/>
            </a:solidFill>
          </a:ln>
          <a:effectLst/>
        </c:spPr>
        <c:dLbl>
          <c:idx val="0"/>
          <c:layout>
            <c:manualLayout>
              <c:x val="0.15555555555555556"/>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4">
              <a:lumMod val="75000"/>
            </a:schemeClr>
          </a:solidFill>
          <a:ln w="19050">
            <a:solidFill>
              <a:schemeClr val="lt1"/>
            </a:solidFill>
          </a:ln>
          <a:effectLst/>
        </c:spPr>
        <c:dLbl>
          <c:idx val="0"/>
          <c:layout>
            <c:manualLayout>
              <c:x val="-0.1777777777777777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w="19050">
            <a:solidFill>
              <a:schemeClr val="lt1"/>
            </a:solidFill>
          </a:ln>
          <a:effectLst/>
        </c:spPr>
        <c:dLbl>
          <c:idx val="0"/>
          <c:layout>
            <c:manualLayout>
              <c:x val="0.15555555555555556"/>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4">
              <a:lumMod val="40000"/>
              <a:lumOff val="60000"/>
            </a:schemeClr>
          </a:solidFill>
          <a:ln w="19050">
            <a:solidFill>
              <a:schemeClr val="lt1"/>
            </a:solidFill>
          </a:ln>
          <a:effectLst/>
        </c:spPr>
        <c:dLbl>
          <c:idx val="0"/>
          <c:layout>
            <c:manualLayout>
              <c:x val="0.194444444444444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4">
              <a:lumMod val="75000"/>
            </a:schemeClr>
          </a:solidFill>
          <a:ln w="19050">
            <a:solidFill>
              <a:schemeClr val="lt1"/>
            </a:solidFill>
          </a:ln>
          <a:effectLst/>
        </c:spPr>
        <c:dLbl>
          <c:idx val="0"/>
          <c:layout>
            <c:manualLayout>
              <c:x val="-0.1777777777777777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50000"/>
            </a:schemeClr>
          </a:solidFill>
          <a:ln w="19050">
            <a:solidFill>
              <a:schemeClr val="lt1"/>
            </a:solidFill>
          </a:ln>
          <a:effectLst/>
        </c:spPr>
        <c:dLbl>
          <c:idx val="0"/>
          <c:layout>
            <c:manualLayout>
              <c:x val="0.15555555555555556"/>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4">
              <a:lumMod val="40000"/>
              <a:lumOff val="60000"/>
            </a:schemeClr>
          </a:solidFill>
          <a:ln w="19050">
            <a:solidFill>
              <a:schemeClr val="lt1"/>
            </a:solidFill>
          </a:ln>
          <a:effectLst/>
        </c:spPr>
        <c:dLbl>
          <c:idx val="0"/>
          <c:layout>
            <c:manualLayout>
              <c:x val="0.194444444444444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4">
              <a:lumMod val="75000"/>
            </a:schemeClr>
          </a:solidFill>
          <a:ln w="19050">
            <a:solidFill>
              <a:schemeClr val="lt1"/>
            </a:solidFill>
          </a:ln>
          <a:effectLst/>
        </c:spPr>
        <c:dLbl>
          <c:idx val="0"/>
          <c:layout>
            <c:manualLayout>
              <c:x val="-0.1777777777777777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50000"/>
            </a:schemeClr>
          </a:solidFill>
          <a:ln w="19050">
            <a:solidFill>
              <a:schemeClr val="lt1"/>
            </a:solidFill>
          </a:ln>
          <a:effectLst/>
        </c:spPr>
        <c:dLbl>
          <c:idx val="0"/>
          <c:layout>
            <c:manualLayout>
              <c:x val="0.15555555555555556"/>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4">
              <a:lumMod val="40000"/>
              <a:lumOff val="60000"/>
            </a:schemeClr>
          </a:solidFill>
          <a:ln w="19050">
            <a:solidFill>
              <a:schemeClr val="lt1"/>
            </a:solidFill>
          </a:ln>
          <a:effectLst/>
        </c:spPr>
        <c:dLbl>
          <c:idx val="0"/>
          <c:layout>
            <c:manualLayout>
              <c:x val="0.194444444444444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4">
              <a:lumMod val="75000"/>
            </a:schemeClr>
          </a:solidFill>
          <a:ln w="19050">
            <a:solidFill>
              <a:schemeClr val="lt1"/>
            </a:solidFill>
          </a:ln>
          <a:effectLst/>
        </c:spPr>
        <c:dLbl>
          <c:idx val="0"/>
          <c:layout>
            <c:manualLayout>
              <c:x val="-0.1777777777777777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50000"/>
            </a:schemeClr>
          </a:solidFill>
          <a:ln w="19050">
            <a:solidFill>
              <a:schemeClr val="lt1"/>
            </a:solidFill>
          </a:ln>
          <a:effectLst/>
        </c:spPr>
        <c:dLbl>
          <c:idx val="0"/>
          <c:layout>
            <c:manualLayout>
              <c:x val="0.22118571638688031"/>
              <c:y val="-0.12913476446343561"/>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accent4"/>
                    </a:solidFill>
                    <a:latin typeface="+mn-lt"/>
                    <a:ea typeface="+mn-ea"/>
                    <a:cs typeface="+mn-cs"/>
                  </a:defRPr>
                </a:pPr>
                <a:fld id="{6FDBCB09-5107-41D3-91C5-4858F1D0AF7F}" type="CATEGORYNAME">
                  <a:rPr lang="en-US" sz="800"/>
                  <a:pPr>
                    <a:defRPr b="1">
                      <a:solidFill>
                        <a:schemeClr val="accent4"/>
                      </a:solidFill>
                    </a:defRPr>
                  </a:pPr>
                  <a:t>[CATEGORY NAME]</a:t>
                </a:fld>
                <a:r>
                  <a:rPr lang="en-US" sz="800" baseline="0"/>
                  <a:t>
</a:t>
                </a:r>
                <a:fld id="{D4A9926F-7AF2-4B90-9804-79D3557338A6}" type="VALUE">
                  <a:rPr lang="en-US" sz="800" baseline="0"/>
                  <a:pPr>
                    <a:defRPr b="1">
                      <a:solidFill>
                        <a:schemeClr val="accent4"/>
                      </a:solidFill>
                    </a:defRPr>
                  </a:pPr>
                  <a:t>[VALUE]</a:t>
                </a:fld>
                <a:endParaRPr lang="en-US" sz="800"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2681337727231169"/>
                  <c:h val="0.25536040493992623"/>
                </c:manualLayout>
              </c15:layout>
              <c15:dlblFieldTable/>
              <c15:showDataLabelsRange val="0"/>
            </c:ext>
          </c:extLst>
        </c:dLbl>
      </c:pivotFmt>
      <c:pivotFmt>
        <c:idx val="18"/>
        <c:spPr>
          <a:solidFill>
            <a:schemeClr val="accent4">
              <a:lumMod val="40000"/>
              <a:lumOff val="60000"/>
            </a:schemeClr>
          </a:solidFill>
          <a:ln w="19050">
            <a:solidFill>
              <a:schemeClr val="lt1"/>
            </a:solidFill>
          </a:ln>
          <a:effectLst/>
        </c:spPr>
        <c:dLbl>
          <c:idx val="0"/>
          <c:layout>
            <c:manualLayout>
              <c:x val="0.25755045495923456"/>
              <c:y val="1.4623630285057304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accent4"/>
                    </a:solidFill>
                    <a:latin typeface="+mn-lt"/>
                    <a:ea typeface="+mn-ea"/>
                    <a:cs typeface="+mn-cs"/>
                  </a:defRPr>
                </a:pPr>
                <a:fld id="{458615EF-7293-44A3-9810-B09F89460776}" type="CATEGORYNAME">
                  <a:rPr lang="en-US" sz="800"/>
                  <a:pPr>
                    <a:defRPr b="1">
                      <a:solidFill>
                        <a:schemeClr val="accent4"/>
                      </a:solidFill>
                    </a:defRPr>
                  </a:pPr>
                  <a:t>[CATEGORY NAME]</a:t>
                </a:fld>
                <a:r>
                  <a:rPr lang="en-US" sz="800" baseline="0"/>
                  <a:t>
</a:t>
                </a:r>
                <a:fld id="{F605A4BF-B953-4D74-8311-595C28953D6E}" type="VALUE">
                  <a:rPr lang="en-US" sz="800" baseline="0"/>
                  <a:pPr>
                    <a:defRPr b="1">
                      <a:solidFill>
                        <a:schemeClr val="accent4"/>
                      </a:solidFill>
                    </a:defRPr>
                  </a:pPr>
                  <a:t>[VALUE]</a:t>
                </a:fld>
                <a:endParaRPr lang="en-US" sz="800"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3203835252682246"/>
                  <c:h val="0.17591880936055113"/>
                </c:manualLayout>
              </c15:layout>
              <c15:dlblFieldTable/>
              <c15:showDataLabelsRange val="0"/>
            </c:ext>
          </c:extLst>
        </c:dLbl>
      </c:pivotFmt>
      <c:pivotFmt>
        <c:idx val="19"/>
        <c:spPr>
          <a:solidFill>
            <a:schemeClr val="accent4">
              <a:lumMod val="75000"/>
            </a:schemeClr>
          </a:solidFill>
          <a:ln w="19050">
            <a:solidFill>
              <a:schemeClr val="lt1"/>
            </a:solidFill>
          </a:ln>
          <a:effectLst/>
        </c:spPr>
        <c:dLbl>
          <c:idx val="0"/>
          <c:layout>
            <c:manualLayout>
              <c:x val="-0.19292338637547155"/>
              <c:y val="6.5770497579375918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fld id="{E2A82926-56C4-4740-9188-359AF8CFD0A4}" type="CATEGORYNAME">
                  <a:rPr lang="en-US"/>
                  <a:pPr>
                    <a:defRPr b="1">
                      <a:solidFill>
                        <a:schemeClr val="accent4"/>
                      </a:solidFill>
                    </a:defRPr>
                  </a:pPr>
                  <a:t>[CATEGORY NAME]</a:t>
                </a:fld>
                <a:r>
                  <a:rPr lang="en-US" baseline="0"/>
                  <a:t>
</a:t>
                </a:r>
                <a:fld id="{0E58BFFE-B22A-45F1-B3C7-345D73196F16}" type="VALUE">
                  <a:rPr lang="en-US" sz="800" baseline="0"/>
                  <a:pPr>
                    <a:defRPr b="1">
                      <a:solidFill>
                        <a:schemeClr val="accent4"/>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3222995615377581"/>
                  <c:h val="0.34320984669095062"/>
                </c:manualLayout>
              </c15:layout>
              <c15:dlblFieldTable/>
              <c15:showDataLabelsRange val="0"/>
            </c:ext>
          </c:extLst>
        </c:dLbl>
      </c:pivotFmt>
    </c:pivotFmts>
    <c:plotArea>
      <c:layout>
        <c:manualLayout>
          <c:layoutTarget val="inner"/>
          <c:xMode val="edge"/>
          <c:yMode val="edge"/>
          <c:x val="0.28865113735783032"/>
          <c:y val="0.21740449110527851"/>
          <c:w val="0.40047572178477692"/>
          <c:h val="0.66745953630796151"/>
        </c:manualLayout>
      </c:layout>
      <c:doughnutChart>
        <c:varyColors val="1"/>
        <c:ser>
          <c:idx val="0"/>
          <c:order val="0"/>
          <c:tx>
            <c:strRef>
              <c:f>PIVOT!$G$3</c:f>
              <c:strCache>
                <c:ptCount val="1"/>
                <c:pt idx="0">
                  <c:v>Total</c:v>
                </c:pt>
              </c:strCache>
            </c:strRef>
          </c:tx>
          <c:spPr>
            <a:solidFill>
              <a:schemeClr val="accent4">
                <a:lumMod val="50000"/>
              </a:schemeClr>
            </a:solidFill>
          </c:spPr>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11FE-49B5-A919-82B573CFC840}"/>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11FE-49B5-A919-82B573CFC840}"/>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11FE-49B5-A919-82B573CFC840}"/>
              </c:ext>
            </c:extLst>
          </c:dPt>
          <c:dLbls>
            <c:dLbl>
              <c:idx val="0"/>
              <c:layout>
                <c:manualLayout>
                  <c:x val="0.22118571638688031"/>
                  <c:y val="-0.12913476446343561"/>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accent4"/>
                        </a:solidFill>
                        <a:latin typeface="+mn-lt"/>
                        <a:ea typeface="+mn-ea"/>
                        <a:cs typeface="+mn-cs"/>
                      </a:defRPr>
                    </a:pPr>
                    <a:fld id="{6FDBCB09-5107-41D3-91C5-4858F1D0AF7F}" type="CATEGORYNAME">
                      <a:rPr lang="en-US" sz="800"/>
                      <a:pPr>
                        <a:defRPr b="1">
                          <a:solidFill>
                            <a:schemeClr val="accent4"/>
                          </a:solidFill>
                        </a:defRPr>
                      </a:pPr>
                      <a:t>[CATEGORY NAME]</a:t>
                    </a:fld>
                    <a:r>
                      <a:rPr lang="en-US" sz="800" baseline="0"/>
                      <a:t>
</a:t>
                    </a:r>
                    <a:fld id="{D4A9926F-7AF2-4B90-9804-79D3557338A6}" type="VALUE">
                      <a:rPr lang="en-US" sz="800" baseline="0"/>
                      <a:pPr>
                        <a:defRPr b="1">
                          <a:solidFill>
                            <a:schemeClr val="accent4"/>
                          </a:solidFill>
                        </a:defRPr>
                      </a:pPr>
                      <a:t>[VALUE]</a:t>
                    </a:fld>
                    <a:endParaRPr lang="en-US" sz="800"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2681337727231169"/>
                      <c:h val="0.25536040493992623"/>
                    </c:manualLayout>
                  </c15:layout>
                  <c15:dlblFieldTable/>
                  <c15:showDataLabelsRange val="0"/>
                </c:ext>
                <c:ext xmlns:c16="http://schemas.microsoft.com/office/drawing/2014/chart" uri="{C3380CC4-5D6E-409C-BE32-E72D297353CC}">
                  <c16:uniqueId val="{00000001-11FE-49B5-A919-82B573CFC840}"/>
                </c:ext>
              </c:extLst>
            </c:dLbl>
            <c:dLbl>
              <c:idx val="1"/>
              <c:layout>
                <c:manualLayout>
                  <c:x val="0.25755045495923456"/>
                  <c:y val="1.4623630285057304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accent4"/>
                        </a:solidFill>
                        <a:latin typeface="+mn-lt"/>
                        <a:ea typeface="+mn-ea"/>
                        <a:cs typeface="+mn-cs"/>
                      </a:defRPr>
                    </a:pPr>
                    <a:fld id="{458615EF-7293-44A3-9810-B09F89460776}" type="CATEGORYNAME">
                      <a:rPr lang="en-US" sz="800"/>
                      <a:pPr>
                        <a:defRPr b="1">
                          <a:solidFill>
                            <a:schemeClr val="accent4"/>
                          </a:solidFill>
                        </a:defRPr>
                      </a:pPr>
                      <a:t>[CATEGORY NAME]</a:t>
                    </a:fld>
                    <a:r>
                      <a:rPr lang="en-US" sz="800" baseline="0"/>
                      <a:t>
</a:t>
                    </a:r>
                    <a:fld id="{F605A4BF-B953-4D74-8311-595C28953D6E}" type="VALUE">
                      <a:rPr lang="en-US" sz="800" baseline="0"/>
                      <a:pPr>
                        <a:defRPr b="1">
                          <a:solidFill>
                            <a:schemeClr val="accent4"/>
                          </a:solidFill>
                        </a:defRPr>
                      </a:pPr>
                      <a:t>[VALUE]</a:t>
                    </a:fld>
                    <a:endParaRPr lang="en-US" sz="800"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3203835252682246"/>
                      <c:h val="0.17591880936055113"/>
                    </c:manualLayout>
                  </c15:layout>
                  <c15:dlblFieldTable/>
                  <c15:showDataLabelsRange val="0"/>
                </c:ext>
                <c:ext xmlns:c16="http://schemas.microsoft.com/office/drawing/2014/chart" uri="{C3380CC4-5D6E-409C-BE32-E72D297353CC}">
                  <c16:uniqueId val="{00000003-11FE-49B5-A919-82B573CFC840}"/>
                </c:ext>
              </c:extLst>
            </c:dLbl>
            <c:dLbl>
              <c:idx val="2"/>
              <c:layout>
                <c:manualLayout>
                  <c:x val="-0.19292338637547155"/>
                  <c:y val="6.5770497579375918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fld id="{E2A82926-56C4-4740-9188-359AF8CFD0A4}" type="CATEGORYNAME">
                      <a:rPr lang="en-US"/>
                      <a:pPr>
                        <a:defRPr b="1">
                          <a:solidFill>
                            <a:schemeClr val="accent4"/>
                          </a:solidFill>
                        </a:defRPr>
                      </a:pPr>
                      <a:t>[CATEGORY NAME]</a:t>
                    </a:fld>
                    <a:r>
                      <a:rPr lang="en-US" baseline="0"/>
                      <a:t>
</a:t>
                    </a:r>
                    <a:fld id="{0E58BFFE-B22A-45F1-B3C7-345D73196F16}" type="VALUE">
                      <a:rPr lang="en-US" sz="800" baseline="0"/>
                      <a:pPr>
                        <a:defRPr b="1">
                          <a:solidFill>
                            <a:schemeClr val="accent4"/>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3222995615377581"/>
                      <c:h val="0.34320984669095062"/>
                    </c:manualLayout>
                  </c15:layout>
                  <c15:dlblFieldTable/>
                  <c15:showDataLabelsRange val="0"/>
                </c:ext>
                <c:ext xmlns:c16="http://schemas.microsoft.com/office/drawing/2014/chart" uri="{C3380CC4-5D6E-409C-BE32-E72D297353CC}">
                  <c16:uniqueId val="{00000005-11FE-49B5-A919-82B573CFC8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PIVOT!$F$4:$F$7</c:f>
              <c:strCache>
                <c:ptCount val="3"/>
                <c:pt idx="0">
                  <c:v>Accessories</c:v>
                </c:pt>
                <c:pt idx="1">
                  <c:v>Electronics</c:v>
                </c:pt>
                <c:pt idx="2">
                  <c:v>Fashion</c:v>
                </c:pt>
              </c:strCache>
            </c:strRef>
          </c:cat>
          <c:val>
            <c:numRef>
              <c:f>PIVOT!$G$4:$G$7</c:f>
              <c:numCache>
                <c:formatCode>"₹"\ #,##0</c:formatCode>
                <c:ptCount val="3"/>
                <c:pt idx="0">
                  <c:v>2862702</c:v>
                </c:pt>
                <c:pt idx="1">
                  <c:v>3806244</c:v>
                </c:pt>
                <c:pt idx="2">
                  <c:v>3502783</c:v>
                </c:pt>
              </c:numCache>
            </c:numRef>
          </c:val>
          <c:extLst>
            <c:ext xmlns:c16="http://schemas.microsoft.com/office/drawing/2014/chart" uri="{C3380CC4-5D6E-409C-BE32-E72D297353CC}">
              <c16:uniqueId val="{00000006-11FE-49B5-A919-82B573CFC840}"/>
            </c:ext>
          </c:extLst>
        </c:ser>
        <c:dLbls>
          <c:showLegendKey val="0"/>
          <c:showVal val="1"/>
          <c:showCatName val="0"/>
          <c:showSerName val="0"/>
          <c:showPercent val="0"/>
          <c:showBubbleSize val="0"/>
          <c:showLeaderLines val="1"/>
        </c:dLbls>
        <c:firstSliceAng val="0"/>
        <c:holeSize val="5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[Sales_Performance_Dashboard.xlsx]PIVOT!PivotTable5</c:name>
    <c:fmtId val="18"/>
  </c:pivotSource>
  <c:chart>
    <c:title>
      <c:tx>
        <c:rich>
          <a:bodyPr rot="0" spcFirstLastPara="1" vertOverflow="ellipsis" vert="horz" wrap="square" anchor="ctr" anchorCtr="1"/>
          <a:lstStyle/>
          <a:p>
            <a:pPr>
              <a:defRPr sz="1000" b="1" i="0" u="none" strike="noStrike" kern="1200" spc="0" baseline="0">
                <a:solidFill>
                  <a:schemeClr val="accent4">
                    <a:lumMod val="50000"/>
                  </a:schemeClr>
                </a:solidFill>
                <a:latin typeface="+mn-lt"/>
                <a:ea typeface="+mn-ea"/>
                <a:cs typeface="+mn-cs"/>
              </a:defRPr>
            </a:pPr>
            <a:r>
              <a:rPr lang="en-US" sz="1000" b="1">
                <a:solidFill>
                  <a:schemeClr val="accent4">
                    <a:lumMod val="50000"/>
                  </a:schemeClr>
                </a:solidFill>
              </a:rPr>
              <a:t>TOTAL</a:t>
            </a:r>
            <a:r>
              <a:rPr lang="en-US" sz="1000" b="1" baseline="0">
                <a:solidFill>
                  <a:schemeClr val="accent4">
                    <a:lumMod val="50000"/>
                  </a:schemeClr>
                </a:solidFill>
              </a:rPr>
              <a:t> SALES BY SALESPERSON</a:t>
            </a:r>
          </a:p>
        </c:rich>
      </c:tx>
      <c:layout>
        <c:manualLayout>
          <c:xMode val="edge"/>
          <c:yMode val="edge"/>
          <c:x val="0.26504707464694016"/>
          <c:y val="0.21834936034297228"/>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63319961220166"/>
          <c:y val="0.31820972893572685"/>
          <c:w val="0.83736678573944368"/>
          <c:h val="0.60044536867815612"/>
        </c:manualLayout>
      </c:layout>
      <c:barChart>
        <c:barDir val="bar"/>
        <c:grouping val="clustered"/>
        <c:varyColors val="0"/>
        <c:ser>
          <c:idx val="0"/>
          <c:order val="0"/>
          <c:tx>
            <c:strRef>
              <c:f>PIVOT!$K$7</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PIVOT!$J$8:$J$13</c:f>
              <c:strCache>
                <c:ptCount val="5"/>
                <c:pt idx="0">
                  <c:v>Amit</c:v>
                </c:pt>
                <c:pt idx="1">
                  <c:v>Priya</c:v>
                </c:pt>
                <c:pt idx="2">
                  <c:v>Rahul</c:v>
                </c:pt>
                <c:pt idx="3">
                  <c:v>Ravi</c:v>
                </c:pt>
                <c:pt idx="4">
                  <c:v>Sneha</c:v>
                </c:pt>
              </c:strCache>
            </c:strRef>
          </c:cat>
          <c:val>
            <c:numRef>
              <c:f>PIVOT!$K$8:$K$13</c:f>
              <c:numCache>
                <c:formatCode>"₹"\ #,##0</c:formatCode>
                <c:ptCount val="5"/>
                <c:pt idx="0">
                  <c:v>2980118</c:v>
                </c:pt>
                <c:pt idx="1">
                  <c:v>703258</c:v>
                </c:pt>
                <c:pt idx="2">
                  <c:v>1401021</c:v>
                </c:pt>
                <c:pt idx="3">
                  <c:v>1121219</c:v>
                </c:pt>
                <c:pt idx="4">
                  <c:v>3966113</c:v>
                </c:pt>
              </c:numCache>
            </c:numRef>
          </c:val>
          <c:extLst>
            <c:ext xmlns:c16="http://schemas.microsoft.com/office/drawing/2014/chart" uri="{C3380CC4-5D6E-409C-BE32-E72D297353CC}">
              <c16:uniqueId val="{00000000-EBA8-435A-B94F-63E7179B26BC}"/>
            </c:ext>
          </c:extLst>
        </c:ser>
        <c:dLbls>
          <c:dLblPos val="outEnd"/>
          <c:showLegendKey val="0"/>
          <c:showVal val="1"/>
          <c:showCatName val="0"/>
          <c:showSerName val="0"/>
          <c:showPercent val="0"/>
          <c:showBubbleSize val="0"/>
        </c:dLbls>
        <c:gapWidth val="219"/>
        <c:axId val="1456630671"/>
        <c:axId val="1456621551"/>
      </c:barChart>
      <c:catAx>
        <c:axId val="1456630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solidFill>
                <a:latin typeface="+mn-lt"/>
                <a:ea typeface="+mn-ea"/>
                <a:cs typeface="+mn-cs"/>
              </a:defRPr>
            </a:pPr>
            <a:endParaRPr lang="en-US"/>
          </a:p>
        </c:txPr>
        <c:crossAx val="1456621551"/>
        <c:crosses val="autoZero"/>
        <c:auto val="1"/>
        <c:lblAlgn val="ctr"/>
        <c:lblOffset val="100"/>
        <c:noMultiLvlLbl val="0"/>
      </c:catAx>
      <c:valAx>
        <c:axId val="1456621551"/>
        <c:scaling>
          <c:orientation val="minMax"/>
        </c:scaling>
        <c:delete val="1"/>
        <c:axPos val="b"/>
        <c:numFmt formatCode="&quot;₹&quot;\ #,##0" sourceLinked="1"/>
        <c:majorTickMark val="none"/>
        <c:minorTickMark val="none"/>
        <c:tickLblPos val="nextTo"/>
        <c:crossAx val="145663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[Sales_Performance_Dashboard.xlsx]PIVOT!PivotTable8</c:name>
    <c:fmtId val="10"/>
  </c:pivotSource>
  <c:chart>
    <c:title>
      <c:tx>
        <c:rich>
          <a:bodyPr rot="0" spcFirstLastPara="1" vertOverflow="ellipsis" vert="horz" wrap="square" anchor="ctr" anchorCtr="1"/>
          <a:lstStyle/>
          <a:p>
            <a:pPr>
              <a:defRPr sz="1000" b="0" i="0" u="none" strike="noStrike" kern="1200" spc="0" baseline="0">
                <a:solidFill>
                  <a:schemeClr val="accent4">
                    <a:lumMod val="50000"/>
                  </a:schemeClr>
                </a:solidFill>
                <a:latin typeface="+mn-lt"/>
                <a:ea typeface="+mn-ea"/>
                <a:cs typeface="+mn-cs"/>
              </a:defRPr>
            </a:pPr>
            <a:r>
              <a:rPr lang="en-US" sz="1000">
                <a:solidFill>
                  <a:schemeClr val="accent4">
                    <a:lumMod val="50000"/>
                  </a:schemeClr>
                </a:solidFill>
              </a:rPr>
              <a:t> </a:t>
            </a:r>
            <a:r>
              <a:rPr lang="en-US" sz="1000" b="1">
                <a:solidFill>
                  <a:schemeClr val="accent4">
                    <a:lumMod val="50000"/>
                  </a:schemeClr>
                </a:solidFill>
              </a:rPr>
              <a:t>PAYEMENT</a:t>
            </a:r>
            <a:r>
              <a:rPr lang="en-US" sz="1000" b="1" baseline="0">
                <a:solidFill>
                  <a:schemeClr val="accent4">
                    <a:lumMod val="50000"/>
                  </a:schemeClr>
                </a:solidFill>
              </a:rPr>
              <a:t> MODE</a:t>
            </a:r>
            <a:endParaRPr lang="en-US" sz="1000"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4">
              <a:lumMod val="75000"/>
            </a:schemeClr>
          </a:solidFill>
          <a:ln w="19050">
            <a:solidFill>
              <a:schemeClr val="lt1"/>
            </a:solidFill>
          </a:ln>
          <a:effectLst/>
        </c:spPr>
        <c:dLbl>
          <c:idx val="0"/>
          <c:layout>
            <c:manualLayout>
              <c:x val="-0.18712270341207352"/>
              <c:y val="-5.76410761154855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4">
              <a:lumMod val="40000"/>
              <a:lumOff val="60000"/>
            </a:schemeClr>
          </a:solidFill>
          <a:ln w="19050">
            <a:solidFill>
              <a:schemeClr val="lt1"/>
            </a:solidFill>
          </a:ln>
          <a:effectLst/>
        </c:spPr>
        <c:dLbl>
          <c:idx val="0"/>
          <c:layout>
            <c:manualLayout>
              <c:x val="-7.1761592300962379E-2"/>
              <c:y val="3.43671624380285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4">
              <a:lumMod val="50000"/>
            </a:schemeClr>
          </a:solidFill>
          <a:ln w="19050">
            <a:solidFill>
              <a:schemeClr val="lt1"/>
            </a:solidFill>
          </a:ln>
          <a:effectLst/>
        </c:spPr>
        <c:dLbl>
          <c:idx val="0"/>
          <c:layout>
            <c:manualLayout>
              <c:x val="6.6266622922134727E-2"/>
              <c:y val="1.31816856226305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4">
              <a:lumMod val="50000"/>
            </a:schemeClr>
          </a:solidFill>
          <a:ln w="19050">
            <a:solidFill>
              <a:schemeClr val="lt1"/>
            </a:solidFill>
          </a:ln>
          <a:effectLst/>
        </c:spPr>
        <c:dLbl>
          <c:idx val="0"/>
          <c:layout>
            <c:manualLayout>
              <c:x val="6.6266622922134727E-2"/>
              <c:y val="1.31816856226305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4">
              <a:lumMod val="75000"/>
            </a:schemeClr>
          </a:solidFill>
          <a:ln w="19050">
            <a:solidFill>
              <a:schemeClr val="lt1"/>
            </a:solidFill>
          </a:ln>
          <a:effectLst/>
        </c:spPr>
        <c:dLbl>
          <c:idx val="0"/>
          <c:layout>
            <c:manualLayout>
              <c:x val="-0.18712270341207352"/>
              <c:y val="-5.76410761154855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4">
              <a:lumMod val="40000"/>
              <a:lumOff val="60000"/>
            </a:schemeClr>
          </a:solidFill>
          <a:ln w="19050">
            <a:solidFill>
              <a:schemeClr val="lt1"/>
            </a:solidFill>
          </a:ln>
          <a:effectLst/>
        </c:spPr>
        <c:dLbl>
          <c:idx val="0"/>
          <c:layout>
            <c:manualLayout>
              <c:x val="-7.1761592300962379E-2"/>
              <c:y val="3.43671624380285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4">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4">
              <a:lumMod val="50000"/>
            </a:schemeClr>
          </a:solidFill>
          <a:ln w="19050">
            <a:noFill/>
          </a:ln>
          <a:effectLst/>
        </c:spPr>
        <c:dLbl>
          <c:idx val="0"/>
          <c:layout>
            <c:manualLayout>
              <c:x val="6.6266622922134727E-2"/>
              <c:y val="1.31816856226305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4">
              <a:lumMod val="75000"/>
            </a:schemeClr>
          </a:solidFill>
          <a:ln w="19050">
            <a:noFill/>
          </a:ln>
          <a:effectLst/>
        </c:spPr>
        <c:dLbl>
          <c:idx val="0"/>
          <c:layout>
            <c:manualLayout>
              <c:x val="0.26085982943260932"/>
              <c:y val="-0.119315224283047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4">
              <a:lumMod val="40000"/>
              <a:lumOff val="60000"/>
            </a:schemeClr>
          </a:solidFill>
          <a:ln w="19050">
            <a:noFill/>
          </a:ln>
          <a:effectLst/>
        </c:spPr>
        <c:dLbl>
          <c:idx val="0"/>
          <c:layout>
            <c:manualLayout>
              <c:x val="-7.1761592300962379E-2"/>
              <c:y val="3.43671624380285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4">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4">
              <a:lumMod val="50000"/>
            </a:schemeClr>
          </a:solidFill>
          <a:ln w="19050">
            <a:noFill/>
          </a:ln>
          <a:effectLst/>
        </c:spPr>
        <c:dLbl>
          <c:idx val="0"/>
          <c:layout>
            <c:manualLayout>
              <c:x val="6.6266622922134727E-2"/>
              <c:y val="1.31816856226305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4">
              <a:lumMod val="75000"/>
            </a:schemeClr>
          </a:solidFill>
          <a:ln w="19050">
            <a:noFill/>
          </a:ln>
          <a:effectLst/>
        </c:spPr>
        <c:dLbl>
          <c:idx val="0"/>
          <c:layout>
            <c:manualLayout>
              <c:x val="0.26085982943260932"/>
              <c:y val="-0.119315224283047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4">
              <a:lumMod val="40000"/>
              <a:lumOff val="60000"/>
            </a:schemeClr>
          </a:solidFill>
          <a:ln w="19050">
            <a:noFill/>
          </a:ln>
          <a:effectLst/>
        </c:spPr>
        <c:dLbl>
          <c:idx val="0"/>
          <c:layout>
            <c:manualLayout>
              <c:x val="-7.1761592300962379E-2"/>
              <c:y val="3.43671624380285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chemeClr val="accent4">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800" b="1" i="0" u="none" strike="noStrike" kern="1200" baseline="0">
                  <a:solidFill>
                    <a:schemeClr val="accent4"/>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7"/>
        <c:spPr>
          <a:solidFill>
            <a:schemeClr val="accent4">
              <a:lumMod val="50000"/>
            </a:schemeClr>
          </a:solidFill>
          <a:ln w="19050">
            <a:noFill/>
          </a:ln>
          <a:effectLst/>
        </c:spPr>
        <c:dLbl>
          <c:idx val="0"/>
          <c:layout>
            <c:manualLayout>
              <c:x val="0"/>
              <c:y val="-0.18108420451760754"/>
            </c:manualLayout>
          </c:layout>
          <c:spPr>
            <a:noFill/>
            <a:ln>
              <a:noFill/>
            </a:ln>
            <a:effectLst/>
          </c:spPr>
          <c:txPr>
            <a:bodyPr rot="0" spcFirstLastPara="1" vertOverflow="ellipsis" vert="horz" wrap="square" lIns="38100" tIns="19050" rIns="38100" bIns="19050" anchor="t" anchorCtr="0">
              <a:noAutofit/>
            </a:bodyPr>
            <a:lstStyle/>
            <a:p>
              <a:pPr>
                <a:defRPr sz="800" b="1" i="0" u="none" strike="noStrike" kern="1200" baseline="0">
                  <a:solidFill>
                    <a:schemeClr val="accent4"/>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741089301186104"/>
                  <c:h val="6.8396323311552321E-2"/>
                </c:manualLayout>
              </c15:layout>
            </c:ext>
          </c:extLst>
        </c:dLbl>
      </c:pivotFmt>
      <c:pivotFmt>
        <c:idx val="18"/>
        <c:spPr>
          <a:solidFill>
            <a:schemeClr val="accent4">
              <a:lumMod val="75000"/>
            </a:schemeClr>
          </a:solidFill>
          <a:ln w="19050">
            <a:noFill/>
          </a:ln>
          <a:effectLst/>
        </c:spPr>
        <c:dLbl>
          <c:idx val="0"/>
          <c:layout>
            <c:manualLayout>
              <c:x val="2.6086201487855072E-2"/>
              <c:y val="-0.31919903408868461"/>
            </c:manualLayout>
          </c:layout>
          <c:spPr>
            <a:noFill/>
            <a:ln>
              <a:noFill/>
            </a:ln>
            <a:effectLst/>
          </c:spPr>
          <c:txPr>
            <a:bodyPr rot="0" spcFirstLastPara="1" vertOverflow="ellipsis" vert="horz" wrap="square" lIns="38100" tIns="19050" rIns="38100" bIns="19050" anchor="t" anchorCtr="0">
              <a:spAutoFit/>
            </a:bodyPr>
            <a:lstStyle/>
            <a:p>
              <a:pPr>
                <a:defRPr sz="800" b="1" i="0" u="none" strike="noStrike" kern="1200" baseline="0">
                  <a:solidFill>
                    <a:schemeClr val="accent4"/>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433091332795551"/>
                  <c:h val="0.13829922467056593"/>
                </c:manualLayout>
              </c15:layout>
            </c:ext>
          </c:extLst>
        </c:dLbl>
      </c:pivotFmt>
      <c:pivotFmt>
        <c:idx val="19"/>
        <c:spPr>
          <a:solidFill>
            <a:schemeClr val="accent4">
              <a:lumMod val="40000"/>
              <a:lumOff val="60000"/>
            </a:schemeClr>
          </a:solidFill>
          <a:ln w="19050">
            <a:noFill/>
          </a:ln>
          <a:effectLst/>
        </c:spPr>
        <c:dLbl>
          <c:idx val="0"/>
          <c:layout>
            <c:manualLayout>
              <c:x val="3.7345762002927908E-7"/>
              <c:y val="-0.2209841139875888"/>
            </c:manualLayout>
          </c:layout>
          <c:spPr>
            <a:noFill/>
            <a:ln>
              <a:noFill/>
            </a:ln>
            <a:effectLst/>
          </c:spPr>
          <c:txPr>
            <a:bodyPr rot="0" spcFirstLastPara="1" vertOverflow="ellipsis" vert="horz" wrap="square" lIns="38100" tIns="19050" rIns="38100" bIns="19050" anchor="t" anchorCtr="0">
              <a:noAutofit/>
            </a:bodyPr>
            <a:lstStyle/>
            <a:p>
              <a:pPr>
                <a:defRPr sz="800" b="1" i="0" u="none" strike="noStrike" kern="1200" baseline="0">
                  <a:solidFill>
                    <a:schemeClr val="accent4"/>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104007947178153"/>
                  <c:h val="9.5384225736335787E-2"/>
                </c:manualLayout>
              </c15:layout>
            </c:ext>
          </c:extLst>
        </c:dLbl>
      </c:pivotFmt>
    </c:pivotFmts>
    <c:plotArea>
      <c:layout/>
      <c:barChart>
        <c:barDir val="col"/>
        <c:grouping val="stacked"/>
        <c:varyColors val="0"/>
        <c:ser>
          <c:idx val="0"/>
          <c:order val="0"/>
          <c:tx>
            <c:strRef>
              <c:f>PIVOT!$H$25</c:f>
              <c:strCache>
                <c:ptCount val="1"/>
                <c:pt idx="0">
                  <c:v>Total</c:v>
                </c:pt>
              </c:strCache>
            </c:strRef>
          </c:tx>
          <c:spPr>
            <a:solidFill>
              <a:schemeClr val="accent4">
                <a:lumMod val="50000"/>
              </a:schemeClr>
            </a:solidFill>
            <a:ln w="19050">
              <a:noFill/>
            </a:ln>
            <a:effectLst/>
          </c:spPr>
          <c:invertIfNegative val="0"/>
          <c:dPt>
            <c:idx val="0"/>
            <c:invertIfNegative val="0"/>
            <c:bubble3D val="0"/>
            <c:spPr>
              <a:solidFill>
                <a:schemeClr val="accent4">
                  <a:lumMod val="50000"/>
                </a:schemeClr>
              </a:solidFill>
              <a:ln w="19050">
                <a:noFill/>
              </a:ln>
              <a:effectLst/>
            </c:spPr>
            <c:extLst>
              <c:ext xmlns:c16="http://schemas.microsoft.com/office/drawing/2014/chart" uri="{C3380CC4-5D6E-409C-BE32-E72D297353CC}">
                <c16:uniqueId val="{00000001-7DEB-49D7-9E24-EB227C823F4A}"/>
              </c:ext>
            </c:extLst>
          </c:dPt>
          <c:dPt>
            <c:idx val="1"/>
            <c:invertIfNegative val="0"/>
            <c:bubble3D val="0"/>
            <c:spPr>
              <a:solidFill>
                <a:schemeClr val="accent4">
                  <a:lumMod val="75000"/>
                </a:schemeClr>
              </a:solidFill>
              <a:ln w="19050">
                <a:noFill/>
              </a:ln>
              <a:effectLst/>
            </c:spPr>
            <c:extLst>
              <c:ext xmlns:c16="http://schemas.microsoft.com/office/drawing/2014/chart" uri="{C3380CC4-5D6E-409C-BE32-E72D297353CC}">
                <c16:uniqueId val="{00000003-7DEB-49D7-9E24-EB227C823F4A}"/>
              </c:ext>
            </c:extLst>
          </c:dPt>
          <c:dPt>
            <c:idx val="2"/>
            <c:invertIfNegative val="0"/>
            <c:bubble3D val="0"/>
            <c:spPr>
              <a:solidFill>
                <a:schemeClr val="accent4">
                  <a:lumMod val="40000"/>
                  <a:lumOff val="60000"/>
                </a:schemeClr>
              </a:solidFill>
              <a:ln w="19050">
                <a:noFill/>
              </a:ln>
              <a:effectLst/>
            </c:spPr>
            <c:extLst>
              <c:ext xmlns:c16="http://schemas.microsoft.com/office/drawing/2014/chart" uri="{C3380CC4-5D6E-409C-BE32-E72D297353CC}">
                <c16:uniqueId val="{00000005-7DEB-49D7-9E24-EB227C823F4A}"/>
              </c:ext>
            </c:extLst>
          </c:dPt>
          <c:dLbls>
            <c:dLbl>
              <c:idx val="0"/>
              <c:layout>
                <c:manualLayout>
                  <c:x val="0"/>
                  <c:y val="-0.18108420451760754"/>
                </c:manualLayout>
              </c:layout>
              <c:spPr>
                <a:noFill/>
                <a:ln>
                  <a:noFill/>
                </a:ln>
                <a:effectLst/>
              </c:spPr>
              <c:txPr>
                <a:bodyPr rot="0" spcFirstLastPara="1" vertOverflow="ellipsis" vert="horz" wrap="square" lIns="38100" tIns="19050" rIns="38100" bIns="19050" anchor="t" anchorCtr="0">
                  <a:noAutofit/>
                </a:bodyPr>
                <a:lstStyle/>
                <a:p>
                  <a:pPr>
                    <a:defRPr sz="800" b="1" i="0" u="none" strike="noStrike" kern="1200" baseline="0">
                      <a:solidFill>
                        <a:schemeClr val="accent4"/>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741089301186104"/>
                      <c:h val="6.8396323311552321E-2"/>
                    </c:manualLayout>
                  </c15:layout>
                </c:ext>
                <c:ext xmlns:c16="http://schemas.microsoft.com/office/drawing/2014/chart" uri="{C3380CC4-5D6E-409C-BE32-E72D297353CC}">
                  <c16:uniqueId val="{00000001-7DEB-49D7-9E24-EB227C823F4A}"/>
                </c:ext>
              </c:extLst>
            </c:dLbl>
            <c:dLbl>
              <c:idx val="1"/>
              <c:layout>
                <c:manualLayout>
                  <c:x val="2.6086201487855072E-2"/>
                  <c:y val="-0.31919903408868461"/>
                </c:manualLayout>
              </c:layout>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433091332795551"/>
                      <c:h val="0.13829922467056593"/>
                    </c:manualLayout>
                  </c15:layout>
                </c:ext>
                <c:ext xmlns:c16="http://schemas.microsoft.com/office/drawing/2014/chart" uri="{C3380CC4-5D6E-409C-BE32-E72D297353CC}">
                  <c16:uniqueId val="{00000003-7DEB-49D7-9E24-EB227C823F4A}"/>
                </c:ext>
              </c:extLst>
            </c:dLbl>
            <c:dLbl>
              <c:idx val="2"/>
              <c:layout>
                <c:manualLayout>
                  <c:x val="3.7345762002927908E-7"/>
                  <c:y val="-0.2209841139875888"/>
                </c:manualLayout>
              </c:layout>
              <c:spPr>
                <a:noFill/>
                <a:ln>
                  <a:noFill/>
                </a:ln>
                <a:effectLst/>
              </c:spPr>
              <c:txPr>
                <a:bodyPr rot="0" spcFirstLastPara="1" vertOverflow="ellipsis" vert="horz" wrap="square" lIns="38100" tIns="19050" rIns="38100" bIns="19050" anchor="t" anchorCtr="0">
                  <a:noAutofit/>
                </a:bodyPr>
                <a:lstStyle/>
                <a:p>
                  <a:pPr>
                    <a:defRPr sz="800" b="1" i="0" u="none" strike="noStrike" kern="1200" baseline="0">
                      <a:solidFill>
                        <a:schemeClr val="accent4"/>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104007947178153"/>
                      <c:h val="9.5384225736335787E-2"/>
                    </c:manualLayout>
                  </c15:layout>
                </c:ext>
                <c:ext xmlns:c16="http://schemas.microsoft.com/office/drawing/2014/chart" uri="{C3380CC4-5D6E-409C-BE32-E72D297353CC}">
                  <c16:uniqueId val="{00000005-7DEB-49D7-9E24-EB227C823F4A}"/>
                </c:ext>
              </c:extLst>
            </c:dLbl>
            <c:spPr>
              <a:noFill/>
              <a:ln>
                <a:noFill/>
              </a:ln>
              <a:effectLst/>
            </c:spPr>
            <c:txPr>
              <a:bodyPr rot="0" spcFirstLastPara="1" vertOverflow="ellipsis" vert="horz" wrap="square" lIns="38100" tIns="19050" rIns="38100" bIns="19050" anchor="t" anchorCtr="0">
                <a:spAutoFit/>
              </a:bodyPr>
              <a:lstStyle/>
              <a:p>
                <a:pPr>
                  <a:defRPr sz="800" b="1" i="0" u="none" strike="noStrike" kern="1200" baseline="0">
                    <a:solidFill>
                      <a:schemeClr val="accent4"/>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PIVOT!$G$26:$G$29</c:f>
              <c:strCache>
                <c:ptCount val="3"/>
                <c:pt idx="0">
                  <c:v>Card</c:v>
                </c:pt>
                <c:pt idx="1">
                  <c:v>Cash</c:v>
                </c:pt>
                <c:pt idx="2">
                  <c:v>UPI</c:v>
                </c:pt>
              </c:strCache>
            </c:strRef>
          </c:cat>
          <c:val>
            <c:numRef>
              <c:f>PIVOT!$H$26:$H$29</c:f>
              <c:numCache>
                <c:formatCode>"₹"\ #,##0</c:formatCode>
                <c:ptCount val="3"/>
                <c:pt idx="0">
                  <c:v>2255303</c:v>
                </c:pt>
                <c:pt idx="1">
                  <c:v>5128110</c:v>
                </c:pt>
                <c:pt idx="2">
                  <c:v>2788316</c:v>
                </c:pt>
              </c:numCache>
            </c:numRef>
          </c:val>
          <c:extLst>
            <c:ext xmlns:c16="http://schemas.microsoft.com/office/drawing/2014/chart" uri="{C3380CC4-5D6E-409C-BE32-E72D297353CC}">
              <c16:uniqueId val="{00000006-7DEB-49D7-9E24-EB227C823F4A}"/>
            </c:ext>
          </c:extLst>
        </c:ser>
        <c:dLbls>
          <c:showLegendKey val="0"/>
          <c:showVal val="0"/>
          <c:showCatName val="0"/>
          <c:showSerName val="0"/>
          <c:showPercent val="0"/>
          <c:showBubbleSize val="0"/>
        </c:dLbls>
        <c:gapWidth val="100"/>
        <c:overlap val="100"/>
        <c:axId val="1940040287"/>
        <c:axId val="1940042207"/>
      </c:barChart>
      <c:catAx>
        <c:axId val="1940040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042207"/>
        <c:crosses val="autoZero"/>
        <c:auto val="1"/>
        <c:lblAlgn val="ctr"/>
        <c:lblOffset val="100"/>
        <c:noMultiLvlLbl val="0"/>
      </c:catAx>
      <c:valAx>
        <c:axId val="1940042207"/>
        <c:scaling>
          <c:orientation val="minMax"/>
        </c:scaling>
        <c:delete val="1"/>
        <c:axPos val="l"/>
        <c:numFmt formatCode="&quot;₹&quot;\ #,##0" sourceLinked="1"/>
        <c:majorTickMark val="out"/>
        <c:minorTickMark val="none"/>
        <c:tickLblPos val="nextTo"/>
        <c:crossAx val="194004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4">
                    <a:lumMod val="50000"/>
                  </a:schemeClr>
                </a:solidFill>
              </a:rPr>
              <a:t>SALES</a:t>
            </a:r>
            <a:r>
              <a:rPr lang="en-IN" sz="1600" b="1" baseline="0">
                <a:solidFill>
                  <a:schemeClr val="accent4">
                    <a:lumMod val="50000"/>
                  </a:schemeClr>
                </a:solidFill>
              </a:rPr>
              <a:t> BY PRODUCT</a:t>
            </a:r>
            <a:endParaRPr lang="en-IN" sz="1600"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13626142192202E-2"/>
          <c:y val="6.1106146325379064E-2"/>
          <c:w val="0.94776828110161448"/>
          <c:h val="0.6520958880139982"/>
        </c:manualLayout>
      </c:layout>
      <c:barChart>
        <c:barDir val="col"/>
        <c:grouping val="clustered"/>
        <c:varyColors val="0"/>
        <c:ser>
          <c:idx val="0"/>
          <c:order val="0"/>
          <c:tx>
            <c:strRef>
              <c:f>PIVOT!$G$13</c:f>
              <c:strCache>
                <c:ptCount val="1"/>
                <c:pt idx="0">
                  <c:v>Sum of Sales Amount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PIVOT!$F$14:$F$19</c:f>
              <c:strCache>
                <c:ptCount val="5"/>
                <c:pt idx="0">
                  <c:v>Bag</c:v>
                </c:pt>
                <c:pt idx="1">
                  <c:v>Laptop</c:v>
                </c:pt>
                <c:pt idx="2">
                  <c:v>Phone</c:v>
                </c:pt>
                <c:pt idx="3">
                  <c:v>Shoes</c:v>
                </c:pt>
                <c:pt idx="4">
                  <c:v>Watch</c:v>
                </c:pt>
              </c:strCache>
            </c:strRef>
          </c:cat>
          <c:val>
            <c:numRef>
              <c:f>PIVOT!$G$14:$G$19</c:f>
              <c:numCache>
                <c:formatCode>"₹"\ #,##0</c:formatCode>
                <c:ptCount val="5"/>
                <c:pt idx="0">
                  <c:v>1913232</c:v>
                </c:pt>
                <c:pt idx="1">
                  <c:v>2214361</c:v>
                </c:pt>
                <c:pt idx="2">
                  <c:v>1591883</c:v>
                </c:pt>
                <c:pt idx="3">
                  <c:v>1589551</c:v>
                </c:pt>
                <c:pt idx="4">
                  <c:v>2862702</c:v>
                </c:pt>
              </c:numCache>
            </c:numRef>
          </c:val>
          <c:extLst>
            <c:ext xmlns:c16="http://schemas.microsoft.com/office/drawing/2014/chart" uri="{C3380CC4-5D6E-409C-BE32-E72D297353CC}">
              <c16:uniqueId val="{00000000-A106-4527-8AA0-6A4013350896}"/>
            </c:ext>
          </c:extLst>
        </c:ser>
        <c:ser>
          <c:idx val="1"/>
          <c:order val="1"/>
          <c:tx>
            <c:strRef>
              <c:f>PIVOT!$H$13</c:f>
              <c:strCache>
                <c:ptCount val="1"/>
                <c:pt idx="0">
                  <c:v>Sum of Profit</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PIVOT!$F$14:$F$19</c:f>
              <c:strCache>
                <c:ptCount val="5"/>
                <c:pt idx="0">
                  <c:v>Bag</c:v>
                </c:pt>
                <c:pt idx="1">
                  <c:v>Laptop</c:v>
                </c:pt>
                <c:pt idx="2">
                  <c:v>Phone</c:v>
                </c:pt>
                <c:pt idx="3">
                  <c:v>Shoes</c:v>
                </c:pt>
                <c:pt idx="4">
                  <c:v>Watch</c:v>
                </c:pt>
              </c:strCache>
            </c:strRef>
          </c:cat>
          <c:val>
            <c:numRef>
              <c:f>PIVOT!$H$14:$H$19</c:f>
              <c:numCache>
                <c:formatCode>"₹"\ #,##0</c:formatCode>
                <c:ptCount val="5"/>
                <c:pt idx="0">
                  <c:v>543237</c:v>
                </c:pt>
                <c:pt idx="1">
                  <c:v>635018</c:v>
                </c:pt>
                <c:pt idx="2">
                  <c:v>489554</c:v>
                </c:pt>
                <c:pt idx="3">
                  <c:v>428244</c:v>
                </c:pt>
                <c:pt idx="4">
                  <c:v>685065</c:v>
                </c:pt>
              </c:numCache>
            </c:numRef>
          </c:val>
          <c:extLst>
            <c:ext xmlns:c16="http://schemas.microsoft.com/office/drawing/2014/chart" uri="{C3380CC4-5D6E-409C-BE32-E72D297353CC}">
              <c16:uniqueId val="{00000001-A106-4527-8AA0-6A4013350896}"/>
            </c:ext>
          </c:extLst>
        </c:ser>
        <c:dLbls>
          <c:dLblPos val="outEnd"/>
          <c:showLegendKey val="0"/>
          <c:showVal val="1"/>
          <c:showCatName val="0"/>
          <c:showSerName val="0"/>
          <c:showPercent val="0"/>
          <c:showBubbleSize val="0"/>
        </c:dLbls>
        <c:gapWidth val="79"/>
        <c:overlap val="-27"/>
        <c:axId val="1456659951"/>
        <c:axId val="1456671951"/>
      </c:barChart>
      <c:catAx>
        <c:axId val="145665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lumMod val="75000"/>
                  </a:schemeClr>
                </a:solidFill>
                <a:latin typeface="+mn-lt"/>
                <a:ea typeface="+mn-ea"/>
                <a:cs typeface="+mn-cs"/>
              </a:defRPr>
            </a:pPr>
            <a:endParaRPr lang="en-US"/>
          </a:p>
        </c:txPr>
        <c:crossAx val="1456671951"/>
        <c:crosses val="autoZero"/>
        <c:auto val="1"/>
        <c:lblAlgn val="ctr"/>
        <c:lblOffset val="100"/>
        <c:noMultiLvlLbl val="0"/>
      </c:catAx>
      <c:valAx>
        <c:axId val="1456671951"/>
        <c:scaling>
          <c:orientation val="minMax"/>
        </c:scaling>
        <c:delete val="1"/>
        <c:axPos val="l"/>
        <c:numFmt formatCode="&quot;₹&quot;\ #,##0" sourceLinked="1"/>
        <c:majorTickMark val="none"/>
        <c:minorTickMark val="none"/>
        <c:tickLblPos val="nextTo"/>
        <c:crossAx val="1456659951"/>
        <c:crosses val="autoZero"/>
        <c:crossBetween val="between"/>
      </c:valAx>
      <c:spPr>
        <a:noFill/>
        <a:ln>
          <a:noFill/>
        </a:ln>
        <a:effectLst/>
      </c:spPr>
    </c:plotArea>
    <c:legend>
      <c:legendPos val="b"/>
      <c:layout>
        <c:manualLayout>
          <c:xMode val="edge"/>
          <c:yMode val="edge"/>
          <c:x val="0.291368586187148"/>
          <c:y val="0.79722961980256124"/>
          <c:w val="0.41253789433075888"/>
          <c:h val="7.65372701085594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[Sales_Performance_Dashboard.xlsx]PIVOT!PivotTable3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4">
                    <a:lumMod val="50000"/>
                  </a:schemeClr>
                </a:solidFill>
              </a:rPr>
              <a:t>MONTH-WISE</a:t>
            </a:r>
            <a:r>
              <a:rPr lang="en-US" sz="1600" b="1" baseline="0">
                <a:solidFill>
                  <a:schemeClr val="accent4">
                    <a:lumMod val="50000"/>
                  </a:schemeClr>
                </a:solidFill>
              </a:rPr>
              <a:t> SALES</a:t>
            </a:r>
            <a:endParaRPr lang="en-US" sz="1600" b="1">
              <a:solidFill>
                <a:schemeClr val="accent4">
                  <a:lumMod val="50000"/>
                </a:schemeClr>
              </a:solidFill>
            </a:endParaRPr>
          </a:p>
        </c:rich>
      </c:tx>
      <c:layout>
        <c:manualLayout>
          <c:xMode val="edge"/>
          <c:yMode val="edge"/>
          <c:x val="0.22357657023975558"/>
          <c:y val="3.3394565297867663E-3"/>
        </c:manualLayout>
      </c:layout>
      <c:overlay val="0"/>
      <c:spPr>
        <a:noFill/>
        <a:ln>
          <a:noFill/>
        </a:ln>
        <a:effectLst/>
      </c:sp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4"/>
          </a:solidFill>
          <a:ln>
            <a:noFill/>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4"/>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28575" cap="rnd">
            <a:solidFill>
              <a:schemeClr val="accent4"/>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28575" cap="rnd">
            <a:solidFill>
              <a:schemeClr val="accent4"/>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hade val="76000"/>
            </a:schemeClr>
          </a:solidFill>
          <a:ln>
            <a:noFill/>
          </a:ln>
          <a:effectLst/>
        </c:spPr>
        <c:dLbl>
          <c:idx val="0"/>
          <c:layout>
            <c:manualLayout>
              <c:x val="-1.4392844648281374E-3"/>
              <c:y val="0.218780795929963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hade val="76000"/>
            </a:schemeClr>
          </a:solidFill>
          <a:ln>
            <a:noFill/>
          </a:ln>
          <a:effectLst/>
        </c:spPr>
        <c:dLbl>
          <c:idx val="0"/>
          <c:layout>
            <c:manualLayout>
              <c:x val="-1.4392844648281374E-3"/>
              <c:y val="0.218780795929963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w="28575" cap="rnd">
            <a:solidFill>
              <a:schemeClr val="accent4"/>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5400000" spcFirstLastPara="1" vertOverflow="ellipsis" vert="horz" wrap="square" lIns="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pivotFmt>
      <c:pivotFmt>
        <c:idx val="16"/>
        <c:spPr>
          <a:ln w="28575" cap="rnd">
            <a:solidFill>
              <a:schemeClr val="accent4">
                <a:tint val="77000"/>
              </a:schemeClr>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92D050"/>
            </a:solidFill>
            <a:round/>
          </a:ln>
          <a:effectLst/>
        </c:spPr>
      </c:pivotFmt>
      <c:pivotFmt>
        <c:idx val="18"/>
        <c:spPr>
          <a:ln w="28575" cap="rnd">
            <a:solidFill>
              <a:srgbClr val="92D050"/>
            </a:solidFill>
            <a:round/>
          </a:ln>
          <a:effectLst/>
        </c:spPr>
      </c:pivotFmt>
      <c:pivotFmt>
        <c:idx val="19"/>
        <c:spPr>
          <a:ln w="28575" cap="rnd">
            <a:solidFill>
              <a:srgbClr val="92D050"/>
            </a:solidFill>
            <a:round/>
          </a:ln>
          <a:effectLst/>
        </c:spPr>
      </c:pivotFmt>
      <c:pivotFmt>
        <c:idx val="20"/>
        <c:spPr>
          <a:ln w="28575" cap="rnd">
            <a:solidFill>
              <a:srgbClr val="92D050"/>
            </a:solidFill>
            <a:round/>
          </a:ln>
          <a:effectLst/>
        </c:spPr>
      </c:pivotFmt>
      <c:pivotFmt>
        <c:idx val="21"/>
        <c:spPr>
          <a:ln w="28575" cap="rnd">
            <a:solidFill>
              <a:srgbClr val="92D050"/>
            </a:solidFill>
            <a:round/>
          </a:ln>
          <a:effectLst/>
        </c:spPr>
      </c:pivotFmt>
    </c:pivotFmts>
    <c:plotArea>
      <c:layout>
        <c:manualLayout>
          <c:layoutTarget val="inner"/>
          <c:xMode val="edge"/>
          <c:yMode val="edge"/>
          <c:x val="0.14703660353266654"/>
          <c:y val="3.8454570329187761E-2"/>
          <c:w val="0.80544861138339119"/>
          <c:h val="0.84212192713045686"/>
        </c:manualLayout>
      </c:layout>
      <c:barChart>
        <c:barDir val="col"/>
        <c:grouping val="clustered"/>
        <c:varyColors val="0"/>
        <c:ser>
          <c:idx val="0"/>
          <c:order val="0"/>
          <c:tx>
            <c:strRef>
              <c:f>PIVOT!$B$15</c:f>
              <c:strCache>
                <c:ptCount val="1"/>
                <c:pt idx="0">
                  <c:v>Sum of Sales Amount</c:v>
                </c:pt>
              </c:strCache>
            </c:strRef>
          </c:tx>
          <c:spPr>
            <a:solidFill>
              <a:schemeClr val="accent4"/>
            </a:solidFill>
            <a:ln>
              <a:noFill/>
            </a:ln>
            <a:effectLst/>
          </c:spPr>
          <c:invertIfNegative val="0"/>
          <c:dPt>
            <c:idx val="3"/>
            <c:invertIfNegative val="0"/>
            <c:bubble3D val="0"/>
            <c:extLst>
              <c:ext xmlns:c16="http://schemas.microsoft.com/office/drawing/2014/chart" uri="{C3380CC4-5D6E-409C-BE32-E72D297353CC}">
                <c16:uniqueId val="{00000001-5064-4597-AB0F-DB9CDD160A34}"/>
              </c:ext>
            </c:extLst>
          </c:dPt>
          <c:dLbls>
            <c:spPr>
              <a:noFill/>
              <a:ln>
                <a:noFill/>
              </a:ln>
              <a:effectLst/>
            </c:spPr>
            <c:txPr>
              <a:bodyPr rot="-5400000" spcFirstLastPara="1" vertOverflow="ellipsis" vert="horz" wrap="square" lIns="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PIVOT!$A$16:$A$22</c:f>
              <c:strCache>
                <c:ptCount val="6"/>
                <c:pt idx="0">
                  <c:v>Jan</c:v>
                </c:pt>
                <c:pt idx="1">
                  <c:v>Feb</c:v>
                </c:pt>
                <c:pt idx="2">
                  <c:v>Mar</c:v>
                </c:pt>
                <c:pt idx="3">
                  <c:v>Apr</c:v>
                </c:pt>
                <c:pt idx="4">
                  <c:v>May</c:v>
                </c:pt>
                <c:pt idx="5">
                  <c:v>Jun</c:v>
                </c:pt>
              </c:strCache>
            </c:strRef>
          </c:cat>
          <c:val>
            <c:numRef>
              <c:f>PIVOT!$B$16:$B$22</c:f>
              <c:numCache>
                <c:formatCode>"₹"\ #,##0</c:formatCode>
                <c:ptCount val="6"/>
                <c:pt idx="0">
                  <c:v>1512740</c:v>
                </c:pt>
                <c:pt idx="1">
                  <c:v>1724594</c:v>
                </c:pt>
                <c:pt idx="2">
                  <c:v>1543096</c:v>
                </c:pt>
                <c:pt idx="3">
                  <c:v>1058343</c:v>
                </c:pt>
                <c:pt idx="4">
                  <c:v>3700495</c:v>
                </c:pt>
                <c:pt idx="5">
                  <c:v>632461</c:v>
                </c:pt>
              </c:numCache>
            </c:numRef>
          </c:val>
          <c:extLst>
            <c:ext xmlns:c16="http://schemas.microsoft.com/office/drawing/2014/chart" uri="{C3380CC4-5D6E-409C-BE32-E72D297353CC}">
              <c16:uniqueId val="{00000002-5064-4597-AB0F-DB9CDD160A34}"/>
            </c:ext>
          </c:extLst>
        </c:ser>
        <c:dLbls>
          <c:showLegendKey val="0"/>
          <c:showVal val="1"/>
          <c:showCatName val="0"/>
          <c:showSerName val="0"/>
          <c:showPercent val="0"/>
          <c:showBubbleSize val="0"/>
        </c:dLbls>
        <c:gapWidth val="109"/>
        <c:overlap val="53"/>
        <c:axId val="1554819263"/>
        <c:axId val="1554815423"/>
      </c:barChart>
      <c:lineChart>
        <c:grouping val="standard"/>
        <c:varyColors val="0"/>
        <c:ser>
          <c:idx val="1"/>
          <c:order val="1"/>
          <c:tx>
            <c:strRef>
              <c:f>PIVOT!$C$15</c:f>
              <c:strCache>
                <c:ptCount val="1"/>
                <c:pt idx="0">
                  <c:v>Sum of Units Sold</c:v>
                </c:pt>
              </c:strCache>
            </c:strRef>
          </c:tx>
          <c:spPr>
            <a:ln w="28575" cap="rnd">
              <a:solidFill>
                <a:schemeClr val="accent4">
                  <a:tint val="77000"/>
                </a:schemeClr>
              </a:solidFill>
              <a:round/>
            </a:ln>
            <a:effectLst/>
          </c:spPr>
          <c:marker>
            <c:symbol val="circle"/>
            <c:size val="5"/>
            <c:spPr>
              <a:solidFill>
                <a:schemeClr val="accent4">
                  <a:tint val="77000"/>
                </a:schemeClr>
              </a:solidFill>
              <a:ln w="9525">
                <a:solidFill>
                  <a:schemeClr val="accent4">
                    <a:tint val="77000"/>
                  </a:schemeClr>
                </a:solidFill>
              </a:ln>
              <a:effectLst/>
            </c:spPr>
          </c:marker>
          <c:dPt>
            <c:idx val="1"/>
            <c:bubble3D val="0"/>
            <c:spPr>
              <a:ln w="28575" cap="rnd">
                <a:solidFill>
                  <a:srgbClr val="92D050"/>
                </a:solidFill>
                <a:round/>
              </a:ln>
              <a:effectLst/>
            </c:spPr>
            <c:extLst>
              <c:ext xmlns:c16="http://schemas.microsoft.com/office/drawing/2014/chart" uri="{C3380CC4-5D6E-409C-BE32-E72D297353CC}">
                <c16:uniqueId val="{00000003-65A0-4856-A7DD-1CF52CE45524}"/>
              </c:ext>
            </c:extLst>
          </c:dPt>
          <c:dPt>
            <c:idx val="2"/>
            <c:bubble3D val="0"/>
            <c:spPr>
              <a:ln w="28575" cap="rnd">
                <a:solidFill>
                  <a:srgbClr val="92D050"/>
                </a:solidFill>
                <a:round/>
              </a:ln>
              <a:effectLst/>
            </c:spPr>
            <c:extLst>
              <c:ext xmlns:c16="http://schemas.microsoft.com/office/drawing/2014/chart" uri="{C3380CC4-5D6E-409C-BE32-E72D297353CC}">
                <c16:uniqueId val="{00000004-65A0-4856-A7DD-1CF52CE45524}"/>
              </c:ext>
            </c:extLst>
          </c:dPt>
          <c:dPt>
            <c:idx val="3"/>
            <c:bubble3D val="0"/>
            <c:spPr>
              <a:ln w="28575" cap="rnd">
                <a:solidFill>
                  <a:srgbClr val="92D050"/>
                </a:solidFill>
                <a:round/>
              </a:ln>
              <a:effectLst/>
            </c:spPr>
            <c:extLst>
              <c:ext xmlns:c16="http://schemas.microsoft.com/office/drawing/2014/chart" uri="{C3380CC4-5D6E-409C-BE32-E72D297353CC}">
                <c16:uniqueId val="{00000005-65A0-4856-A7DD-1CF52CE45524}"/>
              </c:ext>
            </c:extLst>
          </c:dPt>
          <c:dPt>
            <c:idx val="4"/>
            <c:bubble3D val="0"/>
            <c:spPr>
              <a:ln w="28575" cap="rnd">
                <a:solidFill>
                  <a:srgbClr val="92D050"/>
                </a:solidFill>
                <a:round/>
              </a:ln>
              <a:effectLst/>
            </c:spPr>
            <c:extLst>
              <c:ext xmlns:c16="http://schemas.microsoft.com/office/drawing/2014/chart" uri="{C3380CC4-5D6E-409C-BE32-E72D297353CC}">
                <c16:uniqueId val="{00000001-65A0-4856-A7DD-1CF52CE45524}"/>
              </c:ext>
            </c:extLst>
          </c:dPt>
          <c:dPt>
            <c:idx val="5"/>
            <c:bubble3D val="0"/>
            <c:spPr>
              <a:ln w="28575" cap="rnd">
                <a:solidFill>
                  <a:srgbClr val="92D050"/>
                </a:solidFill>
                <a:round/>
              </a:ln>
              <a:effectLst/>
            </c:spPr>
            <c:extLst>
              <c:ext xmlns:c16="http://schemas.microsoft.com/office/drawing/2014/chart" uri="{C3380CC4-5D6E-409C-BE32-E72D297353CC}">
                <c16:uniqueId val="{00000002-65A0-4856-A7DD-1CF52CE455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PIVOT!$A$16:$A$22</c:f>
              <c:strCache>
                <c:ptCount val="6"/>
                <c:pt idx="0">
                  <c:v>Jan</c:v>
                </c:pt>
                <c:pt idx="1">
                  <c:v>Feb</c:v>
                </c:pt>
                <c:pt idx="2">
                  <c:v>Mar</c:v>
                </c:pt>
                <c:pt idx="3">
                  <c:v>Apr</c:v>
                </c:pt>
                <c:pt idx="4">
                  <c:v>May</c:v>
                </c:pt>
                <c:pt idx="5">
                  <c:v>Jun</c:v>
                </c:pt>
              </c:strCache>
            </c:strRef>
          </c:cat>
          <c:val>
            <c:numRef>
              <c:f>PIVOT!$C$16:$C$22</c:f>
              <c:numCache>
                <c:formatCode>General</c:formatCode>
                <c:ptCount val="6"/>
                <c:pt idx="0">
                  <c:v>193</c:v>
                </c:pt>
                <c:pt idx="1">
                  <c:v>172</c:v>
                </c:pt>
                <c:pt idx="2">
                  <c:v>156</c:v>
                </c:pt>
                <c:pt idx="3">
                  <c:v>113</c:v>
                </c:pt>
                <c:pt idx="4">
                  <c:v>324</c:v>
                </c:pt>
                <c:pt idx="5">
                  <c:v>86</c:v>
                </c:pt>
              </c:numCache>
            </c:numRef>
          </c:val>
          <c:smooth val="1"/>
          <c:extLst>
            <c:ext xmlns:c16="http://schemas.microsoft.com/office/drawing/2014/chart" uri="{C3380CC4-5D6E-409C-BE32-E72D297353CC}">
              <c16:uniqueId val="{00000003-5064-4597-AB0F-DB9CDD160A34}"/>
            </c:ext>
          </c:extLst>
        </c:ser>
        <c:dLbls>
          <c:showLegendKey val="0"/>
          <c:showVal val="0"/>
          <c:showCatName val="0"/>
          <c:showSerName val="0"/>
          <c:showPercent val="0"/>
          <c:showBubbleSize val="0"/>
        </c:dLbls>
        <c:marker val="1"/>
        <c:smooth val="0"/>
        <c:axId val="1088091376"/>
        <c:axId val="1088088016"/>
      </c:lineChart>
      <c:dateAx>
        <c:axId val="155481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815423"/>
        <c:crosses val="autoZero"/>
        <c:auto val="0"/>
        <c:lblOffset val="100"/>
        <c:baseTimeUnit val="days"/>
      </c:dateAx>
      <c:valAx>
        <c:axId val="1554815423"/>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4">
                    <a:lumMod val="60000"/>
                    <a:lumOff val="40000"/>
                  </a:schemeClr>
                </a:solidFill>
                <a:latin typeface="+mn-lt"/>
                <a:ea typeface="+mn-ea"/>
                <a:cs typeface="+mn-cs"/>
              </a:defRPr>
            </a:pPr>
            <a:endParaRPr lang="en-US"/>
          </a:p>
        </c:txPr>
        <c:crossAx val="1554819263"/>
        <c:crosses val="autoZero"/>
        <c:crossBetween val="between"/>
      </c:valAx>
      <c:valAx>
        <c:axId val="10880880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4">
                    <a:lumMod val="60000"/>
                    <a:lumOff val="40000"/>
                  </a:schemeClr>
                </a:solidFill>
                <a:latin typeface="+mn-lt"/>
                <a:ea typeface="+mn-ea"/>
                <a:cs typeface="+mn-cs"/>
              </a:defRPr>
            </a:pPr>
            <a:endParaRPr lang="en-US"/>
          </a:p>
        </c:txPr>
        <c:crossAx val="1088091376"/>
        <c:crosses val="max"/>
        <c:crossBetween val="between"/>
      </c:valAx>
      <c:catAx>
        <c:axId val="1088091376"/>
        <c:scaling>
          <c:orientation val="minMax"/>
        </c:scaling>
        <c:delete val="1"/>
        <c:axPos val="b"/>
        <c:numFmt formatCode="General" sourceLinked="1"/>
        <c:majorTickMark val="none"/>
        <c:minorTickMark val="none"/>
        <c:tickLblPos val="nextTo"/>
        <c:crossAx val="1088088016"/>
        <c:crosses val="autoZero"/>
        <c:auto val="1"/>
        <c:lblAlgn val="ctr"/>
        <c:lblOffset val="100"/>
        <c:noMultiLvlLbl val="0"/>
      </c:catAx>
      <c:spPr>
        <a:noFill/>
        <a:ln>
          <a:noFill/>
        </a:ln>
        <a:effectLst/>
      </c:spPr>
    </c:plotArea>
    <c:legend>
      <c:legendPos val="b"/>
      <c:layout>
        <c:manualLayout>
          <c:xMode val="edge"/>
          <c:yMode val="edge"/>
          <c:x val="0.33270347237028169"/>
          <c:y val="0.96193291574639539"/>
          <c:w val="0.36182742751438851"/>
          <c:h val="3.424894758794643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[Sales_Performance_Dashboard.xlsx]PIVOT!PivotTable9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accent4">
                    <a:lumMod val="50000"/>
                  </a:schemeClr>
                </a:solidFill>
              </a:rPr>
              <a:t>SALES</a:t>
            </a:r>
            <a:r>
              <a:rPr lang="en-US" sz="1000" b="1" baseline="0">
                <a:solidFill>
                  <a:schemeClr val="accent4">
                    <a:lumMod val="50000"/>
                  </a:schemeClr>
                </a:solidFill>
              </a:rPr>
              <a:t> TYPE</a:t>
            </a:r>
            <a:endParaRPr lang="en-US" sz="1000"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50000"/>
                      <a:alpha val="97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4">
              <a:shade val="6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50000"/>
                      <a:alpha val="97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25425139614557524"/>
                  <c:h val="0.28798931204368344"/>
                </c:manualLayout>
              </c15:layout>
            </c:ext>
          </c:extLst>
        </c:dLbl>
      </c:pivotFmt>
      <c:pivotFmt>
        <c:idx val="6"/>
        <c:spPr>
          <a:solidFill>
            <a:schemeClr val="accent4"/>
          </a:solidFill>
          <a:ln>
            <a:noFill/>
          </a:ln>
          <a:effectLst/>
        </c:spPr>
        <c:dLbl>
          <c:idx val="0"/>
          <c:layout>
            <c:manualLayout>
              <c:x val="-2.3621879702284687E-8"/>
              <c:y val="-5.135290138168313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50000"/>
                      <a:alpha val="97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7047979983810442"/>
                  <c:h val="0.18291587547538871"/>
                </c:manualLayout>
              </c15:layout>
            </c:ext>
          </c:extLst>
        </c:dLbl>
      </c:pivotFmt>
      <c:pivotFmt>
        <c:idx val="7"/>
        <c:spPr>
          <a:solidFill>
            <a:schemeClr val="accent4">
              <a:tint val="6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50000"/>
                      <a:alpha val="97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35698112488103023"/>
                  <c:h val="0.18367390950389206"/>
                </c:manualLayout>
              </c15:layout>
            </c:ext>
          </c:extLst>
        </c:dLbl>
      </c:pivotFmt>
    </c:pivotFmts>
    <c:plotArea>
      <c:layout/>
      <c:pieChart>
        <c:varyColors val="1"/>
        <c:ser>
          <c:idx val="0"/>
          <c:order val="0"/>
          <c:tx>
            <c:strRef>
              <c:f>PIVOT!$K$25</c:f>
              <c:strCache>
                <c:ptCount val="1"/>
                <c:pt idx="0">
                  <c:v>Total</c:v>
                </c:pt>
              </c:strCache>
            </c:strRef>
          </c:tx>
          <c:dPt>
            <c:idx val="0"/>
            <c:bubble3D val="0"/>
            <c:spPr>
              <a:solidFill>
                <a:schemeClr val="accent4">
                  <a:shade val="65000"/>
                </a:schemeClr>
              </a:solidFill>
              <a:ln>
                <a:noFill/>
              </a:ln>
              <a:effectLst/>
            </c:spPr>
            <c:extLst>
              <c:ext xmlns:c16="http://schemas.microsoft.com/office/drawing/2014/chart" uri="{C3380CC4-5D6E-409C-BE32-E72D297353CC}">
                <c16:uniqueId val="{00000001-6FF1-4A97-B741-FBD6FA30ACE4}"/>
              </c:ext>
            </c:extLst>
          </c:dPt>
          <c:dPt>
            <c:idx val="1"/>
            <c:bubble3D val="0"/>
            <c:spPr>
              <a:solidFill>
                <a:schemeClr val="accent4"/>
              </a:solidFill>
              <a:ln>
                <a:noFill/>
              </a:ln>
              <a:effectLst/>
            </c:spPr>
            <c:extLst>
              <c:ext xmlns:c16="http://schemas.microsoft.com/office/drawing/2014/chart" uri="{C3380CC4-5D6E-409C-BE32-E72D297353CC}">
                <c16:uniqueId val="{00000002-6FF1-4A97-B741-FBD6FA30ACE4}"/>
              </c:ext>
            </c:extLst>
          </c:dPt>
          <c:dPt>
            <c:idx val="2"/>
            <c:bubble3D val="0"/>
            <c:spPr>
              <a:solidFill>
                <a:schemeClr val="accent4">
                  <a:tint val="65000"/>
                </a:schemeClr>
              </a:solidFill>
              <a:ln>
                <a:noFill/>
              </a:ln>
              <a:effectLst/>
            </c:spPr>
            <c:extLst>
              <c:ext xmlns:c16="http://schemas.microsoft.com/office/drawing/2014/chart" uri="{C3380CC4-5D6E-409C-BE32-E72D297353CC}">
                <c16:uniqueId val="{00000003-6FF1-4A97-B741-FBD6FA30ACE4}"/>
              </c:ext>
            </c:extLst>
          </c:dPt>
          <c:dLbls>
            <c:dLbl>
              <c:idx val="0"/>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25425139614557524"/>
                      <c:h val="0.28798931204368344"/>
                    </c:manualLayout>
                  </c15:layout>
                </c:ext>
                <c:ext xmlns:c16="http://schemas.microsoft.com/office/drawing/2014/chart" uri="{C3380CC4-5D6E-409C-BE32-E72D297353CC}">
                  <c16:uniqueId val="{00000001-6FF1-4A97-B741-FBD6FA30ACE4}"/>
                </c:ext>
              </c:extLst>
            </c:dLbl>
            <c:dLbl>
              <c:idx val="1"/>
              <c:layout>
                <c:manualLayout>
                  <c:x val="-2.3621879702284687E-8"/>
                  <c:y val="-5.1352901381683136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7047979983810442"/>
                      <c:h val="0.18291587547538871"/>
                    </c:manualLayout>
                  </c15:layout>
                </c:ext>
                <c:ext xmlns:c16="http://schemas.microsoft.com/office/drawing/2014/chart" uri="{C3380CC4-5D6E-409C-BE32-E72D297353CC}">
                  <c16:uniqueId val="{00000002-6FF1-4A97-B741-FBD6FA30ACE4}"/>
                </c:ext>
              </c:extLst>
            </c:dLbl>
            <c:dLbl>
              <c:idx val="2"/>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35698112488103023"/>
                      <c:h val="0.18367390950389206"/>
                    </c:manualLayout>
                  </c15:layout>
                </c:ext>
                <c:ext xmlns:c16="http://schemas.microsoft.com/office/drawing/2014/chart" uri="{C3380CC4-5D6E-409C-BE32-E72D297353CC}">
                  <c16:uniqueId val="{00000003-6FF1-4A97-B741-FBD6FA30ACE4}"/>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50000"/>
                        <a:alpha val="97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PIVOT!$J$26:$J$29</c:f>
              <c:strCache>
                <c:ptCount val="3"/>
                <c:pt idx="0">
                  <c:v>Direct</c:v>
                </c:pt>
                <c:pt idx="1">
                  <c:v>Online</c:v>
                </c:pt>
                <c:pt idx="2">
                  <c:v>Wholesale</c:v>
                </c:pt>
              </c:strCache>
            </c:strRef>
          </c:cat>
          <c:val>
            <c:numRef>
              <c:f>PIVOT!$K$26:$K$29</c:f>
              <c:numCache>
                <c:formatCode>"₹"\ #,##0</c:formatCode>
                <c:ptCount val="3"/>
                <c:pt idx="0">
                  <c:v>4688216</c:v>
                </c:pt>
                <c:pt idx="1">
                  <c:v>2294952</c:v>
                </c:pt>
                <c:pt idx="2">
                  <c:v>3188561</c:v>
                </c:pt>
              </c:numCache>
            </c:numRef>
          </c:val>
          <c:extLst>
            <c:ext xmlns:c16="http://schemas.microsoft.com/office/drawing/2014/chart" uri="{C3380CC4-5D6E-409C-BE32-E72D297353CC}">
              <c16:uniqueId val="{00000000-6FF1-4A97-B741-FBD6FA30AC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[Sales_Performance_Dashboard.xlsx]PIVOT!PivotTable5</c:name>
    <c:fmtId val="4"/>
  </c:pivotSource>
  <c:chart>
    <c:title>
      <c:tx>
        <c:rich>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r>
              <a:rPr lang="en-US" b="1">
                <a:solidFill>
                  <a:schemeClr val="accent4">
                    <a:lumMod val="50000"/>
                  </a:schemeClr>
                </a:solidFill>
              </a:rPr>
              <a:t>TOTAL</a:t>
            </a:r>
            <a:r>
              <a:rPr lang="en-US" b="1" baseline="0">
                <a:solidFill>
                  <a:schemeClr val="accent4">
                    <a:lumMod val="50000"/>
                  </a:schemeClr>
                </a:solidFill>
              </a:rPr>
              <a:t> SALES BY SALESPERSON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PIVOT!$K$7</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PIVOT!$J$8:$J$13</c:f>
              <c:strCache>
                <c:ptCount val="5"/>
                <c:pt idx="0">
                  <c:v>Amit</c:v>
                </c:pt>
                <c:pt idx="1">
                  <c:v>Priya</c:v>
                </c:pt>
                <c:pt idx="2">
                  <c:v>Rahul</c:v>
                </c:pt>
                <c:pt idx="3">
                  <c:v>Ravi</c:v>
                </c:pt>
                <c:pt idx="4">
                  <c:v>Sneha</c:v>
                </c:pt>
              </c:strCache>
            </c:strRef>
          </c:cat>
          <c:val>
            <c:numRef>
              <c:f>PIVOT!$K$8:$K$13</c:f>
              <c:numCache>
                <c:formatCode>"₹"\ #,##0</c:formatCode>
                <c:ptCount val="5"/>
                <c:pt idx="0">
                  <c:v>2980118</c:v>
                </c:pt>
                <c:pt idx="1">
                  <c:v>703258</c:v>
                </c:pt>
                <c:pt idx="2">
                  <c:v>1401021</c:v>
                </c:pt>
                <c:pt idx="3">
                  <c:v>1121219</c:v>
                </c:pt>
                <c:pt idx="4">
                  <c:v>3966113</c:v>
                </c:pt>
              </c:numCache>
            </c:numRef>
          </c:val>
          <c:extLst>
            <c:ext xmlns:c16="http://schemas.microsoft.com/office/drawing/2014/chart" uri="{C3380CC4-5D6E-409C-BE32-E72D297353CC}">
              <c16:uniqueId val="{00000000-ED4C-47BA-87FD-C775E1F6B738}"/>
            </c:ext>
          </c:extLst>
        </c:ser>
        <c:dLbls>
          <c:dLblPos val="outEnd"/>
          <c:showLegendKey val="0"/>
          <c:showVal val="1"/>
          <c:showCatName val="0"/>
          <c:showSerName val="0"/>
          <c:showPercent val="0"/>
          <c:showBubbleSize val="0"/>
        </c:dLbls>
        <c:gapWidth val="219"/>
        <c:axId val="1456630671"/>
        <c:axId val="1456621551"/>
      </c:barChart>
      <c:catAx>
        <c:axId val="1456630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4"/>
                </a:solidFill>
                <a:latin typeface="+mn-lt"/>
                <a:ea typeface="+mn-ea"/>
                <a:cs typeface="+mn-cs"/>
              </a:defRPr>
            </a:pPr>
            <a:endParaRPr lang="en-US"/>
          </a:p>
        </c:txPr>
        <c:crossAx val="1456621551"/>
        <c:crosses val="autoZero"/>
        <c:auto val="1"/>
        <c:lblAlgn val="ctr"/>
        <c:lblOffset val="100"/>
        <c:noMultiLvlLbl val="0"/>
      </c:catAx>
      <c:valAx>
        <c:axId val="1456621551"/>
        <c:scaling>
          <c:orientation val="minMax"/>
        </c:scaling>
        <c:delete val="1"/>
        <c:axPos val="b"/>
        <c:numFmt formatCode="&quot;₹&quot;\ #,##0" sourceLinked="1"/>
        <c:majorTickMark val="none"/>
        <c:minorTickMark val="none"/>
        <c:tickLblPos val="nextTo"/>
        <c:crossAx val="145663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[Sales_Performance_Dashboard.xlsx]PIVOT!PivotTable8</c:name>
    <c:fmtId val="6"/>
  </c:pivotSource>
  <c:chart>
    <c:title>
      <c:tx>
        <c:rich>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r>
              <a:rPr lang="en-US">
                <a:solidFill>
                  <a:schemeClr val="accent4">
                    <a:lumMod val="50000"/>
                  </a:schemeClr>
                </a:solidFill>
              </a:rPr>
              <a:t> </a:t>
            </a:r>
            <a:r>
              <a:rPr lang="en-US" b="1">
                <a:solidFill>
                  <a:schemeClr val="accent4">
                    <a:lumMod val="50000"/>
                  </a:schemeClr>
                </a:solidFill>
              </a:rPr>
              <a:t>PAYEMENT</a:t>
            </a:r>
            <a:r>
              <a:rPr lang="en-US" b="1" baseline="0">
                <a:solidFill>
                  <a:schemeClr val="accent4">
                    <a:lumMod val="50000"/>
                  </a:schemeClr>
                </a:solidFill>
              </a:rPr>
              <a:t> MODE</a:t>
            </a:r>
            <a:endParaRPr lang="en-US"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4">
              <a:lumMod val="75000"/>
            </a:schemeClr>
          </a:solidFill>
          <a:ln w="19050">
            <a:solidFill>
              <a:schemeClr val="lt1"/>
            </a:solidFill>
          </a:ln>
          <a:effectLst/>
        </c:spPr>
        <c:dLbl>
          <c:idx val="0"/>
          <c:layout>
            <c:manualLayout>
              <c:x val="-0.18712270341207352"/>
              <c:y val="-5.76410761154855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4">
              <a:lumMod val="40000"/>
              <a:lumOff val="60000"/>
            </a:schemeClr>
          </a:solidFill>
          <a:ln w="19050">
            <a:solidFill>
              <a:schemeClr val="lt1"/>
            </a:solidFill>
          </a:ln>
          <a:effectLst/>
        </c:spPr>
        <c:dLbl>
          <c:idx val="0"/>
          <c:layout>
            <c:manualLayout>
              <c:x val="-7.1761592300962379E-2"/>
              <c:y val="3.43671624380285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4">
              <a:lumMod val="50000"/>
            </a:schemeClr>
          </a:solidFill>
          <a:ln w="19050">
            <a:solidFill>
              <a:schemeClr val="lt1"/>
            </a:solidFill>
          </a:ln>
          <a:effectLst/>
        </c:spPr>
        <c:dLbl>
          <c:idx val="0"/>
          <c:layout>
            <c:manualLayout>
              <c:x val="6.6266622922134727E-2"/>
              <c:y val="1.31816856226305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4">
              <a:lumMod val="50000"/>
            </a:schemeClr>
          </a:solidFill>
          <a:ln w="19050">
            <a:solidFill>
              <a:schemeClr val="lt1"/>
            </a:solidFill>
          </a:ln>
          <a:effectLst/>
        </c:spPr>
        <c:dLbl>
          <c:idx val="0"/>
          <c:layout>
            <c:manualLayout>
              <c:x val="6.6266622922134727E-2"/>
              <c:y val="1.31816856226305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4">
              <a:lumMod val="75000"/>
            </a:schemeClr>
          </a:solidFill>
          <a:ln w="19050">
            <a:solidFill>
              <a:schemeClr val="lt1"/>
            </a:solidFill>
          </a:ln>
          <a:effectLst/>
        </c:spPr>
        <c:dLbl>
          <c:idx val="0"/>
          <c:layout>
            <c:manualLayout>
              <c:x val="-0.18712270341207352"/>
              <c:y val="-5.76410761154855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4">
              <a:lumMod val="40000"/>
              <a:lumOff val="60000"/>
            </a:schemeClr>
          </a:solidFill>
          <a:ln w="19050">
            <a:solidFill>
              <a:schemeClr val="lt1"/>
            </a:solidFill>
          </a:ln>
          <a:effectLst/>
        </c:spPr>
        <c:dLbl>
          <c:idx val="0"/>
          <c:layout>
            <c:manualLayout>
              <c:x val="-7.1761592300962379E-2"/>
              <c:y val="3.43671624380285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4">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4">
              <a:lumMod val="50000"/>
            </a:schemeClr>
          </a:solidFill>
          <a:ln w="19050">
            <a:noFill/>
          </a:ln>
          <a:effectLst/>
        </c:spPr>
        <c:dLbl>
          <c:idx val="0"/>
          <c:layout>
            <c:manualLayout>
              <c:x val="6.6266622922134727E-2"/>
              <c:y val="1.31816856226305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4">
              <a:lumMod val="75000"/>
            </a:schemeClr>
          </a:solidFill>
          <a:ln w="19050">
            <a:noFill/>
          </a:ln>
          <a:effectLst/>
        </c:spPr>
        <c:dLbl>
          <c:idx val="0"/>
          <c:layout>
            <c:manualLayout>
              <c:x val="0.26085982943260932"/>
              <c:y val="-0.119315224283047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4">
              <a:lumMod val="40000"/>
              <a:lumOff val="60000"/>
            </a:schemeClr>
          </a:solidFill>
          <a:ln w="19050">
            <a:noFill/>
          </a:ln>
          <a:effectLst/>
        </c:spPr>
        <c:dLbl>
          <c:idx val="0"/>
          <c:layout>
            <c:manualLayout>
              <c:x val="-7.1761592300962379E-2"/>
              <c:y val="3.43671624380285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PIVOT!$H$25</c:f>
              <c:strCache>
                <c:ptCount val="1"/>
                <c:pt idx="0">
                  <c:v>Total</c:v>
                </c:pt>
              </c:strCache>
            </c:strRef>
          </c:tx>
          <c:spPr>
            <a:solidFill>
              <a:schemeClr val="accent4">
                <a:lumMod val="50000"/>
              </a:schemeClr>
            </a:solidFill>
            <a:ln>
              <a:noFill/>
            </a:ln>
          </c:spPr>
          <c:dPt>
            <c:idx val="0"/>
            <c:bubble3D val="0"/>
            <c:spPr>
              <a:solidFill>
                <a:schemeClr val="accent4">
                  <a:lumMod val="50000"/>
                </a:schemeClr>
              </a:solidFill>
              <a:ln w="19050">
                <a:noFill/>
              </a:ln>
              <a:effectLst/>
            </c:spPr>
            <c:extLst>
              <c:ext xmlns:c16="http://schemas.microsoft.com/office/drawing/2014/chart" uri="{C3380CC4-5D6E-409C-BE32-E72D297353CC}">
                <c16:uniqueId val="{00000001-5FAA-43CE-A007-6EB32A22FD06}"/>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5FAA-43CE-A007-6EB32A22FD06}"/>
              </c:ext>
            </c:extLst>
          </c:dPt>
          <c:dPt>
            <c:idx val="2"/>
            <c:bubble3D val="0"/>
            <c:spPr>
              <a:solidFill>
                <a:schemeClr val="accent4">
                  <a:lumMod val="40000"/>
                  <a:lumOff val="60000"/>
                </a:schemeClr>
              </a:solidFill>
              <a:ln w="19050">
                <a:noFill/>
              </a:ln>
              <a:effectLst/>
            </c:spPr>
            <c:extLst>
              <c:ext xmlns:c16="http://schemas.microsoft.com/office/drawing/2014/chart" uri="{C3380CC4-5D6E-409C-BE32-E72D297353CC}">
                <c16:uniqueId val="{00000005-5FAA-43CE-A007-6EB32A22FD06}"/>
              </c:ext>
            </c:extLst>
          </c:dPt>
          <c:dLbls>
            <c:dLbl>
              <c:idx val="0"/>
              <c:layout>
                <c:manualLayout>
                  <c:x val="6.6266622922134727E-2"/>
                  <c:y val="1.318168562263050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5FAA-43CE-A007-6EB32A22FD06}"/>
                </c:ext>
              </c:extLst>
            </c:dLbl>
            <c:dLbl>
              <c:idx val="1"/>
              <c:layout>
                <c:manualLayout>
                  <c:x val="0.26085982943260932"/>
                  <c:y val="-0.11931522428304726"/>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FAA-43CE-A007-6EB32A22FD06}"/>
                </c:ext>
              </c:extLst>
            </c:dLbl>
            <c:dLbl>
              <c:idx val="2"/>
              <c:layout>
                <c:manualLayout>
                  <c:x val="-7.1761592300962379E-2"/>
                  <c:y val="3.436716243802857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5FAA-43CE-A007-6EB32A22FD0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PIVOT!$G$26:$G$29</c:f>
              <c:strCache>
                <c:ptCount val="3"/>
                <c:pt idx="0">
                  <c:v>Card</c:v>
                </c:pt>
                <c:pt idx="1">
                  <c:v>Cash</c:v>
                </c:pt>
                <c:pt idx="2">
                  <c:v>UPI</c:v>
                </c:pt>
              </c:strCache>
            </c:strRef>
          </c:cat>
          <c:val>
            <c:numRef>
              <c:f>PIVOT!$H$26:$H$29</c:f>
              <c:numCache>
                <c:formatCode>"₹"\ #,##0</c:formatCode>
                <c:ptCount val="3"/>
                <c:pt idx="0">
                  <c:v>2255303</c:v>
                </c:pt>
                <c:pt idx="1">
                  <c:v>5128110</c:v>
                </c:pt>
                <c:pt idx="2">
                  <c:v>2788316</c:v>
                </c:pt>
              </c:numCache>
            </c:numRef>
          </c:val>
          <c:extLst>
            <c:ext xmlns:c16="http://schemas.microsoft.com/office/drawing/2014/chart" uri="{C3380CC4-5D6E-409C-BE32-E72D297353CC}">
              <c16:uniqueId val="{00000006-5FAA-43CE-A007-6EB32A22FD0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[Sales_Performance_Dashboard.xlsx]PIVOT!PivotTable7</c:name>
    <c:fmtId val="12"/>
  </c:pivotSource>
  <c:chart>
    <c:title>
      <c:tx>
        <c:rich>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r>
              <a:rPr lang="en-US" b="1">
                <a:solidFill>
                  <a:schemeClr val="accent4">
                    <a:lumMod val="50000"/>
                  </a:schemeClr>
                </a:solidFill>
              </a:rPr>
              <a:t>TOTAL</a:t>
            </a:r>
            <a:r>
              <a:rPr lang="en-US" b="1" baseline="0">
                <a:solidFill>
                  <a:schemeClr val="accent4">
                    <a:lumMod val="50000"/>
                  </a:schemeClr>
                </a:solidFill>
              </a:rPr>
              <a:t> SALES BY CATEGORY</a:t>
            </a:r>
            <a:endParaRPr lang="en-US"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w="19050">
            <a:solidFill>
              <a:schemeClr val="lt1"/>
            </a:solidFill>
          </a:ln>
          <a:effectLst/>
        </c:spPr>
        <c:dLbl>
          <c:idx val="0"/>
          <c:layout>
            <c:manualLayout>
              <c:x val="0.194444444444444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4">
              <a:lumMod val="50000"/>
            </a:schemeClr>
          </a:solidFill>
          <a:ln w="19050">
            <a:solidFill>
              <a:schemeClr val="lt1"/>
            </a:solidFill>
          </a:ln>
          <a:effectLst/>
        </c:spPr>
        <c:dLbl>
          <c:idx val="0"/>
          <c:layout>
            <c:manualLayout>
              <c:x val="0.15555555555555556"/>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4">
              <a:lumMod val="75000"/>
            </a:schemeClr>
          </a:solidFill>
          <a:ln w="19050">
            <a:solidFill>
              <a:schemeClr val="lt1"/>
            </a:solidFill>
          </a:ln>
          <a:effectLst/>
        </c:spPr>
        <c:dLbl>
          <c:idx val="0"/>
          <c:layout>
            <c:manualLayout>
              <c:x val="-0.1777777777777777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w="19050">
            <a:solidFill>
              <a:schemeClr val="lt1"/>
            </a:solidFill>
          </a:ln>
          <a:effectLst/>
        </c:spPr>
        <c:dLbl>
          <c:idx val="0"/>
          <c:layout>
            <c:manualLayout>
              <c:x val="0.15555555555555556"/>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4">
              <a:lumMod val="40000"/>
              <a:lumOff val="60000"/>
            </a:schemeClr>
          </a:solidFill>
          <a:ln w="19050">
            <a:solidFill>
              <a:schemeClr val="lt1"/>
            </a:solidFill>
          </a:ln>
          <a:effectLst/>
        </c:spPr>
        <c:dLbl>
          <c:idx val="0"/>
          <c:layout>
            <c:manualLayout>
              <c:x val="0.194444444444444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4">
              <a:lumMod val="75000"/>
            </a:schemeClr>
          </a:solidFill>
          <a:ln w="19050">
            <a:solidFill>
              <a:schemeClr val="lt1"/>
            </a:solidFill>
          </a:ln>
          <a:effectLst/>
        </c:spPr>
        <c:dLbl>
          <c:idx val="0"/>
          <c:layout>
            <c:manualLayout>
              <c:x val="-0.1777777777777777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50000"/>
            </a:schemeClr>
          </a:solidFill>
          <a:ln w="19050">
            <a:solidFill>
              <a:schemeClr val="lt1"/>
            </a:solidFill>
          </a:ln>
          <a:effectLst/>
        </c:spPr>
        <c:dLbl>
          <c:idx val="0"/>
          <c:layout>
            <c:manualLayout>
              <c:x val="0.15555555555555556"/>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4">
              <a:lumMod val="40000"/>
              <a:lumOff val="60000"/>
            </a:schemeClr>
          </a:solidFill>
          <a:ln w="19050">
            <a:solidFill>
              <a:schemeClr val="lt1"/>
            </a:solidFill>
          </a:ln>
          <a:effectLst/>
        </c:spPr>
        <c:dLbl>
          <c:idx val="0"/>
          <c:layout>
            <c:manualLayout>
              <c:x val="0.194444444444444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4">
              <a:lumMod val="75000"/>
            </a:schemeClr>
          </a:solidFill>
          <a:ln w="19050">
            <a:solidFill>
              <a:schemeClr val="lt1"/>
            </a:solidFill>
          </a:ln>
          <a:effectLst/>
        </c:spPr>
        <c:dLbl>
          <c:idx val="0"/>
          <c:layout>
            <c:manualLayout>
              <c:x val="-0.1777777777777777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8865113735783032"/>
          <c:y val="0.21740449110527851"/>
          <c:w val="0.40047572178477692"/>
          <c:h val="0.66745953630796151"/>
        </c:manualLayout>
      </c:layout>
      <c:doughnutChart>
        <c:varyColors val="1"/>
        <c:ser>
          <c:idx val="0"/>
          <c:order val="0"/>
          <c:tx>
            <c:strRef>
              <c:f>PIVOT!$G$3</c:f>
              <c:strCache>
                <c:ptCount val="1"/>
                <c:pt idx="0">
                  <c:v>Total</c:v>
                </c:pt>
              </c:strCache>
            </c:strRef>
          </c:tx>
          <c:spPr>
            <a:solidFill>
              <a:schemeClr val="accent4">
                <a:lumMod val="50000"/>
              </a:schemeClr>
            </a:solidFill>
          </c:spPr>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E911-48D4-8920-E392B3291933}"/>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E911-48D4-8920-E392B3291933}"/>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E911-48D4-8920-E392B3291933}"/>
              </c:ext>
            </c:extLst>
          </c:dPt>
          <c:dLbls>
            <c:dLbl>
              <c:idx val="0"/>
              <c:layout>
                <c:manualLayout>
                  <c:x val="0.15555555555555556"/>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E911-48D4-8920-E392B3291933}"/>
                </c:ext>
              </c:extLst>
            </c:dLbl>
            <c:dLbl>
              <c:idx val="1"/>
              <c:layout>
                <c:manualLayout>
                  <c:x val="0.194444444444444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911-48D4-8920-E392B3291933}"/>
                </c:ext>
              </c:extLst>
            </c:dLbl>
            <c:dLbl>
              <c:idx val="2"/>
              <c:layout>
                <c:manualLayout>
                  <c:x val="-0.1777777777777777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E911-48D4-8920-E392B32919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PIVOT!$F$4:$F$7</c:f>
              <c:strCache>
                <c:ptCount val="3"/>
                <c:pt idx="0">
                  <c:v>Accessories</c:v>
                </c:pt>
                <c:pt idx="1">
                  <c:v>Electronics</c:v>
                </c:pt>
                <c:pt idx="2">
                  <c:v>Fashion</c:v>
                </c:pt>
              </c:strCache>
            </c:strRef>
          </c:cat>
          <c:val>
            <c:numRef>
              <c:f>PIVOT!$G$4:$G$7</c:f>
              <c:numCache>
                <c:formatCode>"₹"\ #,##0</c:formatCode>
                <c:ptCount val="3"/>
                <c:pt idx="0">
                  <c:v>2862702</c:v>
                </c:pt>
                <c:pt idx="1">
                  <c:v>3806244</c:v>
                </c:pt>
                <c:pt idx="2">
                  <c:v>3502783</c:v>
                </c:pt>
              </c:numCache>
            </c:numRef>
          </c:val>
          <c:extLst>
            <c:ext xmlns:c16="http://schemas.microsoft.com/office/drawing/2014/chart" uri="{C3380CC4-5D6E-409C-BE32-E72D297353CC}">
              <c16:uniqueId val="{00000006-E911-48D4-8920-E392B3291933}"/>
            </c:ext>
          </c:extLst>
        </c:ser>
        <c:dLbls>
          <c:showLegendKey val="0"/>
          <c:showVal val="1"/>
          <c:showCatName val="0"/>
          <c:showSerName val="0"/>
          <c:showPercent val="0"/>
          <c:showBubbleSize val="0"/>
          <c:showLeaderLines val="1"/>
        </c:dLbls>
        <c:firstSliceAng val="0"/>
        <c:holeSize val="5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50000"/>
                  </a:schemeClr>
                </a:solidFill>
              </a:rPr>
              <a:t>SALES</a:t>
            </a:r>
            <a:r>
              <a:rPr lang="en-US" b="1" baseline="0">
                <a:solidFill>
                  <a:schemeClr val="accent4">
                    <a:lumMod val="50000"/>
                  </a:schemeClr>
                </a:solidFill>
              </a:rPr>
              <a:t> TYPE</a:t>
            </a:r>
            <a:endParaRPr lang="en-US"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PIVOT!$K$25</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PIVOT!$J$26:$J$29</c:f>
              <c:strCache>
                <c:ptCount val="3"/>
                <c:pt idx="0">
                  <c:v>Direct</c:v>
                </c:pt>
                <c:pt idx="1">
                  <c:v>Online</c:v>
                </c:pt>
                <c:pt idx="2">
                  <c:v>Wholesale</c:v>
                </c:pt>
              </c:strCache>
            </c:strRef>
          </c:cat>
          <c:val>
            <c:numRef>
              <c:f>PIVOT!$K$26:$K$29</c:f>
              <c:numCache>
                <c:formatCode>"₹"\ #,##0</c:formatCode>
                <c:ptCount val="3"/>
                <c:pt idx="0">
                  <c:v>4688216</c:v>
                </c:pt>
                <c:pt idx="1">
                  <c:v>2294952</c:v>
                </c:pt>
                <c:pt idx="2">
                  <c:v>3188561</c:v>
                </c:pt>
              </c:numCache>
            </c:numRef>
          </c:val>
          <c:extLst>
            <c:ext xmlns:c16="http://schemas.microsoft.com/office/drawing/2014/chart" uri="{C3380CC4-5D6E-409C-BE32-E72D297353CC}">
              <c16:uniqueId val="{00000000-6DA8-4D6E-926B-EF1E6F5FCA70}"/>
            </c:ext>
          </c:extLst>
        </c:ser>
        <c:dLbls>
          <c:dLblPos val="outEnd"/>
          <c:showLegendKey val="0"/>
          <c:showVal val="1"/>
          <c:showCatName val="0"/>
          <c:showSerName val="0"/>
          <c:showPercent val="0"/>
          <c:showBubbleSize val="0"/>
        </c:dLbls>
        <c:gapWidth val="219"/>
        <c:overlap val="-27"/>
        <c:axId val="1456643631"/>
        <c:axId val="1456659471"/>
      </c:barChart>
      <c:catAx>
        <c:axId val="145664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solidFill>
                <a:latin typeface="+mn-lt"/>
                <a:ea typeface="+mn-ea"/>
                <a:cs typeface="+mn-cs"/>
              </a:defRPr>
            </a:pPr>
            <a:endParaRPr lang="en-US"/>
          </a:p>
        </c:txPr>
        <c:crossAx val="1456659471"/>
        <c:crosses val="autoZero"/>
        <c:auto val="1"/>
        <c:lblAlgn val="ctr"/>
        <c:lblOffset val="100"/>
        <c:noMultiLvlLbl val="0"/>
      </c:catAx>
      <c:valAx>
        <c:axId val="1456659471"/>
        <c:scaling>
          <c:orientation val="minMax"/>
        </c:scaling>
        <c:delete val="1"/>
        <c:axPos val="l"/>
        <c:numFmt formatCode="&quot;₹&quot;\ #,##0" sourceLinked="1"/>
        <c:majorTickMark val="none"/>
        <c:minorTickMark val="none"/>
        <c:tickLblPos val="nextTo"/>
        <c:crossAx val="145664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4">
                    <a:lumMod val="50000"/>
                  </a:schemeClr>
                </a:solidFill>
              </a:rPr>
              <a:t>SALES</a:t>
            </a:r>
            <a:r>
              <a:rPr lang="en-IN" b="1" baseline="0">
                <a:solidFill>
                  <a:schemeClr val="accent4">
                    <a:lumMod val="50000"/>
                  </a:schemeClr>
                </a:solidFill>
              </a:rPr>
              <a:t> BY PRODUCT</a:t>
            </a:r>
            <a:endParaRPr lang="en-IN"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PIVOT!$G$13</c:f>
              <c:strCache>
                <c:ptCount val="1"/>
                <c:pt idx="0">
                  <c:v>Sum of Sales Amount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PIVOT!$F$14:$F$19</c:f>
              <c:strCache>
                <c:ptCount val="5"/>
                <c:pt idx="0">
                  <c:v>Bag</c:v>
                </c:pt>
                <c:pt idx="1">
                  <c:v>Laptop</c:v>
                </c:pt>
                <c:pt idx="2">
                  <c:v>Phone</c:v>
                </c:pt>
                <c:pt idx="3">
                  <c:v>Shoes</c:v>
                </c:pt>
                <c:pt idx="4">
                  <c:v>Watch</c:v>
                </c:pt>
              </c:strCache>
            </c:strRef>
          </c:cat>
          <c:val>
            <c:numRef>
              <c:f>PIVOT!$G$14:$G$19</c:f>
              <c:numCache>
                <c:formatCode>"₹"\ #,##0</c:formatCode>
                <c:ptCount val="5"/>
                <c:pt idx="0">
                  <c:v>1913232</c:v>
                </c:pt>
                <c:pt idx="1">
                  <c:v>2214361</c:v>
                </c:pt>
                <c:pt idx="2">
                  <c:v>1591883</c:v>
                </c:pt>
                <c:pt idx="3">
                  <c:v>1589551</c:v>
                </c:pt>
                <c:pt idx="4">
                  <c:v>2862702</c:v>
                </c:pt>
              </c:numCache>
            </c:numRef>
          </c:val>
          <c:extLst>
            <c:ext xmlns:c16="http://schemas.microsoft.com/office/drawing/2014/chart" uri="{C3380CC4-5D6E-409C-BE32-E72D297353CC}">
              <c16:uniqueId val="{00000000-51B4-415C-A4E4-1A06CA25DBAD}"/>
            </c:ext>
          </c:extLst>
        </c:ser>
        <c:ser>
          <c:idx val="1"/>
          <c:order val="1"/>
          <c:tx>
            <c:strRef>
              <c:f>PIVOT!$H$13</c:f>
              <c:strCache>
                <c:ptCount val="1"/>
                <c:pt idx="0">
                  <c:v>Sum of Profit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PIVOT!$F$14:$F$19</c:f>
              <c:strCache>
                <c:ptCount val="5"/>
                <c:pt idx="0">
                  <c:v>Bag</c:v>
                </c:pt>
                <c:pt idx="1">
                  <c:v>Laptop</c:v>
                </c:pt>
                <c:pt idx="2">
                  <c:v>Phone</c:v>
                </c:pt>
                <c:pt idx="3">
                  <c:v>Shoes</c:v>
                </c:pt>
                <c:pt idx="4">
                  <c:v>Watch</c:v>
                </c:pt>
              </c:strCache>
            </c:strRef>
          </c:cat>
          <c:val>
            <c:numRef>
              <c:f>PIVOT!$H$14:$H$19</c:f>
              <c:numCache>
                <c:formatCode>"₹"\ #,##0</c:formatCode>
                <c:ptCount val="5"/>
                <c:pt idx="0">
                  <c:v>543237</c:v>
                </c:pt>
                <c:pt idx="1">
                  <c:v>635018</c:v>
                </c:pt>
                <c:pt idx="2">
                  <c:v>489554</c:v>
                </c:pt>
                <c:pt idx="3">
                  <c:v>428244</c:v>
                </c:pt>
                <c:pt idx="4">
                  <c:v>685065</c:v>
                </c:pt>
              </c:numCache>
            </c:numRef>
          </c:val>
          <c:extLst>
            <c:ext xmlns:c16="http://schemas.microsoft.com/office/drawing/2014/chart" uri="{C3380CC4-5D6E-409C-BE32-E72D297353CC}">
              <c16:uniqueId val="{00000001-51B4-415C-A4E4-1A06CA25DBAD}"/>
            </c:ext>
          </c:extLst>
        </c:ser>
        <c:dLbls>
          <c:dLblPos val="outEnd"/>
          <c:showLegendKey val="0"/>
          <c:showVal val="1"/>
          <c:showCatName val="0"/>
          <c:showSerName val="0"/>
          <c:showPercent val="0"/>
          <c:showBubbleSize val="0"/>
        </c:dLbls>
        <c:gapWidth val="79"/>
        <c:overlap val="-27"/>
        <c:axId val="1456659951"/>
        <c:axId val="1456671951"/>
      </c:barChart>
      <c:catAx>
        <c:axId val="145665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lumMod val="75000"/>
                  </a:schemeClr>
                </a:solidFill>
                <a:latin typeface="+mn-lt"/>
                <a:ea typeface="+mn-ea"/>
                <a:cs typeface="+mn-cs"/>
              </a:defRPr>
            </a:pPr>
            <a:endParaRPr lang="en-US"/>
          </a:p>
        </c:txPr>
        <c:crossAx val="1456671951"/>
        <c:crosses val="autoZero"/>
        <c:auto val="1"/>
        <c:lblAlgn val="ctr"/>
        <c:lblOffset val="100"/>
        <c:noMultiLvlLbl val="0"/>
      </c:catAx>
      <c:valAx>
        <c:axId val="1456671951"/>
        <c:scaling>
          <c:orientation val="minMax"/>
        </c:scaling>
        <c:delete val="1"/>
        <c:axPos val="l"/>
        <c:numFmt formatCode="&quot;₹&quot;\ #,##0" sourceLinked="1"/>
        <c:majorTickMark val="none"/>
        <c:minorTickMark val="none"/>
        <c:tickLblPos val="nextTo"/>
        <c:crossAx val="1456659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[Sales_Performance_Dashboard.xlsx]PIVOT!PivotTable6</c:name>
    <c:fmtId val="5"/>
  </c:pivotSource>
  <c:chart>
    <c:title>
      <c:tx>
        <c:rich>
          <a:bodyPr rot="0" spcFirstLastPara="1" vertOverflow="ellipsis" vert="horz" wrap="square" anchor="ctr" anchorCtr="1"/>
          <a:lstStyle/>
          <a:p>
            <a:pPr>
              <a:defRPr sz="2000" b="1" i="0" u="none" strike="noStrike" kern="1200" cap="none" spc="0" normalizeH="0" baseline="0">
                <a:solidFill>
                  <a:schemeClr val="accent4">
                    <a:lumMod val="50000"/>
                  </a:schemeClr>
                </a:solidFill>
                <a:latin typeface="+mj-lt"/>
                <a:ea typeface="+mj-ea"/>
                <a:cs typeface="+mj-cs"/>
              </a:defRPr>
            </a:pPr>
            <a:r>
              <a:rPr lang="en-IN" sz="1600" b="1">
                <a:solidFill>
                  <a:schemeClr val="accent4">
                    <a:lumMod val="50000"/>
                  </a:schemeClr>
                </a:solidFill>
                <a:latin typeface="+mn-lt"/>
              </a:rPr>
              <a:t>SALES</a:t>
            </a:r>
            <a:r>
              <a:rPr lang="en-IN" sz="1600" b="1" baseline="0">
                <a:solidFill>
                  <a:schemeClr val="accent4">
                    <a:lumMod val="50000"/>
                  </a:schemeClr>
                </a:solidFill>
                <a:latin typeface="+mn-lt"/>
              </a:rPr>
              <a:t> AND PROFIT BY COUNTRY</a:t>
            </a:r>
            <a:endParaRPr lang="en-IN" sz="1600" b="1">
              <a:solidFill>
                <a:schemeClr val="accent4">
                  <a:lumMod val="50000"/>
                </a:schemeClr>
              </a:solidFill>
              <a:latin typeface="+mn-lt"/>
            </a:endParaRP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accent4">
                  <a:lumMod val="50000"/>
                </a:schemeClr>
              </a:solidFill>
              <a:latin typeface="+mj-lt"/>
              <a:ea typeface="+mj-ea"/>
              <a:cs typeface="+mj-cs"/>
            </a:defRPr>
          </a:pPr>
          <a:endParaRPr lang="en-IN"/>
        </a:p>
      </c:txPr>
    </c:title>
    <c:autoTitleDeleted val="0"/>
    <c:pivotFmts>
      <c:pivotFmt>
        <c:idx val="0"/>
        <c:spPr>
          <a:solidFill>
            <a:schemeClr val="accent4"/>
          </a:solidFill>
          <a:ln>
            <a:noFill/>
          </a:ln>
          <a:effectLst/>
        </c:spPr>
        <c:marker>
          <c:symbol val="circle"/>
          <c:size val="8"/>
          <c:spPr>
            <a:solidFill>
              <a:schemeClr val="accent4">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38100" cap="rnd">
            <a:solidFill>
              <a:schemeClr val="accent4"/>
            </a:solidFill>
            <a:round/>
          </a:ln>
          <a:effectLst/>
        </c:spPr>
        <c:marker>
          <c:symbol val="circle"/>
          <c:size val="8"/>
          <c:spPr>
            <a:solidFill>
              <a:schemeClr val="accent4">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38100" cap="rnd">
            <a:solidFill>
              <a:schemeClr val="accent4"/>
            </a:solidFill>
            <a:round/>
          </a:ln>
          <a:effectLst/>
        </c:spPr>
        <c:marker>
          <c:symbol val="circle"/>
          <c:size val="8"/>
          <c:spPr>
            <a:solidFill>
              <a:schemeClr val="accent4">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4"/>
            </a:solidFill>
            <a:round/>
          </a:ln>
          <a:effectLst/>
        </c:spPr>
        <c:marker>
          <c:symbol val="circle"/>
          <c:size val="8"/>
          <c:spPr>
            <a:solidFill>
              <a:schemeClr val="accent4">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4"/>
            </a:solidFill>
            <a:round/>
          </a:ln>
          <a:effectLst/>
        </c:spPr>
        <c:marker>
          <c:symbol val="circle"/>
          <c:size val="8"/>
          <c:spPr>
            <a:solidFill>
              <a:schemeClr val="accent4">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8100" cap="rnd">
            <a:solidFill>
              <a:schemeClr val="accent4"/>
            </a:solidFill>
            <a:round/>
          </a:ln>
          <a:effectLst/>
        </c:spPr>
        <c:marker>
          <c:symbol val="circle"/>
          <c:size val="8"/>
          <c:spPr>
            <a:solidFill>
              <a:schemeClr val="accent4">
                <a:shade val="76000"/>
              </a:schemeClr>
            </a:solidFill>
            <a:ln>
              <a:noFill/>
            </a:ln>
            <a:effectLst/>
          </c:spPr>
        </c:marker>
      </c:pivotFmt>
      <c:pivotFmt>
        <c:idx val="7"/>
        <c:spPr>
          <a:ln w="38100" cap="rnd">
            <a:solidFill>
              <a:schemeClr val="accent4"/>
            </a:solidFill>
            <a:round/>
          </a:ln>
          <a:effectLst/>
        </c:spPr>
        <c:marker>
          <c:symbol val="circle"/>
          <c:size val="8"/>
          <c:spPr>
            <a:solidFill>
              <a:schemeClr val="accent4">
                <a:tint val="77000"/>
              </a:schemeClr>
            </a:solidFill>
            <a:ln>
              <a:noFill/>
            </a:ln>
            <a:effectLst/>
          </c:spPr>
        </c:marker>
      </c:pivotFmt>
    </c:pivotFmts>
    <c:plotArea>
      <c:layout/>
      <c:lineChart>
        <c:grouping val="stacked"/>
        <c:varyColors val="0"/>
        <c:ser>
          <c:idx val="0"/>
          <c:order val="0"/>
          <c:tx>
            <c:strRef>
              <c:f>PIVOT!$B$8</c:f>
              <c:strCache>
                <c:ptCount val="1"/>
                <c:pt idx="0">
                  <c:v>Sum of Profit</c:v>
                </c:pt>
              </c:strCache>
            </c:strRef>
          </c:tx>
          <c:spPr>
            <a:ln w="38100" cap="rnd">
              <a:solidFill>
                <a:schemeClr val="accent4">
                  <a:shade val="76000"/>
                </a:schemeClr>
              </a:solidFill>
              <a:round/>
            </a:ln>
            <a:effectLst/>
          </c:spPr>
          <c:marker>
            <c:symbol val="circle"/>
            <c:size val="8"/>
            <c:spPr>
              <a:solidFill>
                <a:schemeClr val="accent4">
                  <a:shade val="76000"/>
                </a:schemeClr>
              </a:solidFill>
              <a:ln>
                <a:noFill/>
              </a:ln>
              <a:effectLst/>
            </c:spPr>
          </c:marker>
          <c:dPt>
            <c:idx val="1"/>
            <c:marker>
              <c:symbol val="circle"/>
              <c:size val="8"/>
              <c:spPr>
                <a:solidFill>
                  <a:schemeClr val="accent4">
                    <a:shade val="76000"/>
                  </a:schemeClr>
                </a:solidFill>
                <a:ln>
                  <a:noFill/>
                </a:ln>
                <a:effectLst/>
              </c:spPr>
            </c:marker>
            <c:bubble3D val="0"/>
            <c:extLst>
              <c:ext xmlns:c16="http://schemas.microsoft.com/office/drawing/2014/chart" uri="{C3380CC4-5D6E-409C-BE32-E72D297353CC}">
                <c16:uniqueId val="{00000000-41C9-4EA6-8434-37E8370520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PIVOT!$A$9:$A$12</c:f>
              <c:strCache>
                <c:ptCount val="3"/>
                <c:pt idx="0">
                  <c:v>India</c:v>
                </c:pt>
                <c:pt idx="1">
                  <c:v>UK</c:v>
                </c:pt>
                <c:pt idx="2">
                  <c:v>USA</c:v>
                </c:pt>
              </c:strCache>
            </c:strRef>
          </c:cat>
          <c:val>
            <c:numRef>
              <c:f>PIVOT!$B$9:$B$12</c:f>
              <c:numCache>
                <c:formatCode>"₹"\ #,##0</c:formatCode>
                <c:ptCount val="3"/>
                <c:pt idx="0">
                  <c:v>1014002</c:v>
                </c:pt>
                <c:pt idx="1">
                  <c:v>692289</c:v>
                </c:pt>
                <c:pt idx="2">
                  <c:v>1074827</c:v>
                </c:pt>
              </c:numCache>
            </c:numRef>
          </c:val>
          <c:smooth val="0"/>
          <c:extLst>
            <c:ext xmlns:c16="http://schemas.microsoft.com/office/drawing/2014/chart" uri="{C3380CC4-5D6E-409C-BE32-E72D297353CC}">
              <c16:uniqueId val="{00000000-3E98-4B61-B594-9A4E786D6741}"/>
            </c:ext>
          </c:extLst>
        </c:ser>
        <c:ser>
          <c:idx val="1"/>
          <c:order val="1"/>
          <c:tx>
            <c:strRef>
              <c:f>PIVOT!$C$8</c:f>
              <c:strCache>
                <c:ptCount val="1"/>
                <c:pt idx="0">
                  <c:v>Sum of Sales Amount</c:v>
                </c:pt>
              </c:strCache>
            </c:strRef>
          </c:tx>
          <c:spPr>
            <a:ln w="38100" cap="rnd">
              <a:solidFill>
                <a:schemeClr val="accent4">
                  <a:tint val="77000"/>
                </a:schemeClr>
              </a:solidFill>
              <a:round/>
            </a:ln>
            <a:effectLst/>
          </c:spPr>
          <c:marker>
            <c:symbol val="circle"/>
            <c:size val="8"/>
            <c:spPr>
              <a:solidFill>
                <a:schemeClr val="accent4">
                  <a:tint val="77000"/>
                </a:schemeClr>
              </a:solidFill>
              <a:ln>
                <a:noFill/>
              </a:ln>
              <a:effectLst/>
            </c:spPr>
          </c:marker>
          <c:dPt>
            <c:idx val="1"/>
            <c:marker>
              <c:symbol val="circle"/>
              <c:size val="8"/>
              <c:spPr>
                <a:solidFill>
                  <a:schemeClr val="accent4">
                    <a:tint val="77000"/>
                  </a:schemeClr>
                </a:solidFill>
                <a:ln>
                  <a:noFill/>
                </a:ln>
                <a:effectLst/>
              </c:spPr>
            </c:marker>
            <c:bubble3D val="0"/>
            <c:extLst>
              <c:ext xmlns:c16="http://schemas.microsoft.com/office/drawing/2014/chart" uri="{C3380CC4-5D6E-409C-BE32-E72D297353CC}">
                <c16:uniqueId val="{00000001-41C9-4EA6-8434-37E8370520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PIVOT!$A$9:$A$12</c:f>
              <c:strCache>
                <c:ptCount val="3"/>
                <c:pt idx="0">
                  <c:v>India</c:v>
                </c:pt>
                <c:pt idx="1">
                  <c:v>UK</c:v>
                </c:pt>
                <c:pt idx="2">
                  <c:v>USA</c:v>
                </c:pt>
              </c:strCache>
            </c:strRef>
          </c:cat>
          <c:val>
            <c:numRef>
              <c:f>PIVOT!$C$9:$C$12</c:f>
              <c:numCache>
                <c:formatCode>"₹"\ #,##0</c:formatCode>
                <c:ptCount val="3"/>
                <c:pt idx="0">
                  <c:v>3694353</c:v>
                </c:pt>
                <c:pt idx="1">
                  <c:v>2512578</c:v>
                </c:pt>
                <c:pt idx="2">
                  <c:v>3964798</c:v>
                </c:pt>
              </c:numCache>
            </c:numRef>
          </c:val>
          <c:smooth val="0"/>
          <c:extLst>
            <c:ext xmlns:c16="http://schemas.microsoft.com/office/drawing/2014/chart" uri="{C3380CC4-5D6E-409C-BE32-E72D297353CC}">
              <c16:uniqueId val="{00000001-3E98-4B61-B594-9A4E786D6741}"/>
            </c:ext>
          </c:extLst>
        </c:ser>
        <c:dLbls>
          <c:showLegendKey val="0"/>
          <c:showVal val="1"/>
          <c:showCatName val="0"/>
          <c:showSerName val="0"/>
          <c:showPercent val="0"/>
          <c:showBubbleSize val="0"/>
        </c:dLbls>
        <c:marker val="1"/>
        <c:smooth val="0"/>
        <c:axId val="1403309631"/>
        <c:axId val="1403313951"/>
      </c:lineChart>
      <c:catAx>
        <c:axId val="1403309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03313951"/>
        <c:crosses val="autoZero"/>
        <c:auto val="1"/>
        <c:lblAlgn val="ctr"/>
        <c:lblOffset val="100"/>
        <c:noMultiLvlLbl val="0"/>
      </c:catAx>
      <c:valAx>
        <c:axId val="1403313951"/>
        <c:scaling>
          <c:orientation val="minMax"/>
        </c:scaling>
        <c:delete val="1"/>
        <c:axPos val="l"/>
        <c:numFmt formatCode="&quot;₹&quot;\ #,##0" sourceLinked="1"/>
        <c:majorTickMark val="out"/>
        <c:minorTickMark val="none"/>
        <c:tickLblPos val="nextTo"/>
        <c:crossAx val="140330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[Sales_Performance_Dashboard.xlsx]PIVOT!PivotTable3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4">
                    <a:lumMod val="50000"/>
                  </a:schemeClr>
                </a:solidFill>
              </a:rPr>
              <a:t>MONTH-WISE</a:t>
            </a:r>
            <a:r>
              <a:rPr lang="en-US" sz="1600" b="1" baseline="0">
                <a:solidFill>
                  <a:schemeClr val="accent4">
                    <a:lumMod val="50000"/>
                  </a:schemeClr>
                </a:solidFill>
              </a:rPr>
              <a:t> SALES</a:t>
            </a:r>
            <a:endParaRPr lang="en-US" sz="1600"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4"/>
          </a:solidFill>
          <a:ln>
            <a:noFill/>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4"/>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28575" cap="rnd">
            <a:solidFill>
              <a:schemeClr val="accent4"/>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hade val="76000"/>
            </a:schemeClr>
          </a:solidFill>
          <a:ln>
            <a:noFill/>
          </a:ln>
          <a:effectLst/>
        </c:spPr>
        <c:dLbl>
          <c:idx val="0"/>
          <c:layout>
            <c:manualLayout>
              <c:x val="-1.4392844648281374E-3"/>
              <c:y val="0.218780795929963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87894940111055"/>
          <c:y val="6.132512694222457E-2"/>
          <c:w val="0.80544861138339119"/>
          <c:h val="0.84212192713045686"/>
        </c:manualLayout>
      </c:layout>
      <c:barChart>
        <c:barDir val="col"/>
        <c:grouping val="clustered"/>
        <c:varyColors val="0"/>
        <c:ser>
          <c:idx val="0"/>
          <c:order val="0"/>
          <c:tx>
            <c:strRef>
              <c:f>PIVOT!$B$15</c:f>
              <c:strCache>
                <c:ptCount val="1"/>
                <c:pt idx="0">
                  <c:v>Sum of Sales Amount</c:v>
                </c:pt>
              </c:strCache>
            </c:strRef>
          </c:tx>
          <c:spPr>
            <a:solidFill>
              <a:schemeClr val="accent4">
                <a:shade val="76000"/>
              </a:schemeClr>
            </a:solidFill>
            <a:ln>
              <a:noFill/>
            </a:ln>
            <a:effectLst/>
          </c:spPr>
          <c:invertIfNegative val="0"/>
          <c:dPt>
            <c:idx val="3"/>
            <c:invertIfNegative val="0"/>
            <c:bubble3D val="0"/>
            <c:spPr>
              <a:solidFill>
                <a:schemeClr val="accent4">
                  <a:shade val="76000"/>
                </a:schemeClr>
              </a:solidFill>
              <a:ln>
                <a:noFill/>
              </a:ln>
              <a:effectLst/>
            </c:spPr>
            <c:extLst>
              <c:ext xmlns:c16="http://schemas.microsoft.com/office/drawing/2014/chart" uri="{C3380CC4-5D6E-409C-BE32-E72D297353CC}">
                <c16:uniqueId val="{00000002-9582-4667-B784-BA519D7DC0EC}"/>
              </c:ext>
            </c:extLst>
          </c:dPt>
          <c:dLbls>
            <c:dLbl>
              <c:idx val="3"/>
              <c:layout>
                <c:manualLayout>
                  <c:x val="-1.4392844648281374E-3"/>
                  <c:y val="0.2187807959299638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82-4667-B784-BA519D7DC0E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PIVOT!$A$16:$A$22</c:f>
              <c:strCache>
                <c:ptCount val="6"/>
                <c:pt idx="0">
                  <c:v>Jan</c:v>
                </c:pt>
                <c:pt idx="1">
                  <c:v>Feb</c:v>
                </c:pt>
                <c:pt idx="2">
                  <c:v>Mar</c:v>
                </c:pt>
                <c:pt idx="3">
                  <c:v>Apr</c:v>
                </c:pt>
                <c:pt idx="4">
                  <c:v>May</c:v>
                </c:pt>
                <c:pt idx="5">
                  <c:v>Jun</c:v>
                </c:pt>
              </c:strCache>
            </c:strRef>
          </c:cat>
          <c:val>
            <c:numRef>
              <c:f>PIVOT!$B$16:$B$22</c:f>
              <c:numCache>
                <c:formatCode>"₹"\ #,##0</c:formatCode>
                <c:ptCount val="6"/>
                <c:pt idx="0">
                  <c:v>1512740</c:v>
                </c:pt>
                <c:pt idx="1">
                  <c:v>1724594</c:v>
                </c:pt>
                <c:pt idx="2">
                  <c:v>1543096</c:v>
                </c:pt>
                <c:pt idx="3">
                  <c:v>1058343</c:v>
                </c:pt>
                <c:pt idx="4">
                  <c:v>3700495</c:v>
                </c:pt>
                <c:pt idx="5">
                  <c:v>632461</c:v>
                </c:pt>
              </c:numCache>
            </c:numRef>
          </c:val>
          <c:extLst>
            <c:ext xmlns:c16="http://schemas.microsoft.com/office/drawing/2014/chart" uri="{C3380CC4-5D6E-409C-BE32-E72D297353CC}">
              <c16:uniqueId val="{00000000-9582-4667-B784-BA519D7DC0EC}"/>
            </c:ext>
          </c:extLst>
        </c:ser>
        <c:dLbls>
          <c:showLegendKey val="0"/>
          <c:showVal val="1"/>
          <c:showCatName val="0"/>
          <c:showSerName val="0"/>
          <c:showPercent val="0"/>
          <c:showBubbleSize val="0"/>
        </c:dLbls>
        <c:gapWidth val="150"/>
        <c:axId val="1554819263"/>
        <c:axId val="1554815423"/>
      </c:barChart>
      <c:lineChart>
        <c:grouping val="standard"/>
        <c:varyColors val="0"/>
        <c:ser>
          <c:idx val="1"/>
          <c:order val="1"/>
          <c:tx>
            <c:strRef>
              <c:f>PIVOT!$C$15</c:f>
              <c:strCache>
                <c:ptCount val="1"/>
                <c:pt idx="0">
                  <c:v>Sum of Units Sold</c:v>
                </c:pt>
              </c:strCache>
            </c:strRef>
          </c:tx>
          <c:spPr>
            <a:ln w="28575" cap="rnd">
              <a:solidFill>
                <a:schemeClr val="accent4">
                  <a:tint val="77000"/>
                </a:schemeClr>
              </a:solidFill>
              <a:round/>
            </a:ln>
            <a:effectLst/>
          </c:spPr>
          <c:marker>
            <c:symbol val="circle"/>
            <c:size val="5"/>
            <c:spPr>
              <a:solidFill>
                <a:schemeClr val="accent4">
                  <a:tint val="77000"/>
                </a:schemeClr>
              </a:solidFill>
              <a:ln w="9525">
                <a:solidFill>
                  <a:schemeClr val="accent4">
                    <a:tint val="77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PIVOT!$A$16:$A$22</c:f>
              <c:strCache>
                <c:ptCount val="6"/>
                <c:pt idx="0">
                  <c:v>Jan</c:v>
                </c:pt>
                <c:pt idx="1">
                  <c:v>Feb</c:v>
                </c:pt>
                <c:pt idx="2">
                  <c:v>Mar</c:v>
                </c:pt>
                <c:pt idx="3">
                  <c:v>Apr</c:v>
                </c:pt>
                <c:pt idx="4">
                  <c:v>May</c:v>
                </c:pt>
                <c:pt idx="5">
                  <c:v>Jun</c:v>
                </c:pt>
              </c:strCache>
            </c:strRef>
          </c:cat>
          <c:val>
            <c:numRef>
              <c:f>PIVOT!$C$16:$C$22</c:f>
              <c:numCache>
                <c:formatCode>General</c:formatCode>
                <c:ptCount val="6"/>
                <c:pt idx="0">
                  <c:v>193</c:v>
                </c:pt>
                <c:pt idx="1">
                  <c:v>172</c:v>
                </c:pt>
                <c:pt idx="2">
                  <c:v>156</c:v>
                </c:pt>
                <c:pt idx="3">
                  <c:v>113</c:v>
                </c:pt>
                <c:pt idx="4">
                  <c:v>324</c:v>
                </c:pt>
                <c:pt idx="5">
                  <c:v>86</c:v>
                </c:pt>
              </c:numCache>
            </c:numRef>
          </c:val>
          <c:smooth val="1"/>
          <c:extLst>
            <c:ext xmlns:c16="http://schemas.microsoft.com/office/drawing/2014/chart" uri="{C3380CC4-5D6E-409C-BE32-E72D297353CC}">
              <c16:uniqueId val="{00000001-9582-4667-B784-BA519D7DC0EC}"/>
            </c:ext>
          </c:extLst>
        </c:ser>
        <c:dLbls>
          <c:showLegendKey val="0"/>
          <c:showVal val="0"/>
          <c:showCatName val="0"/>
          <c:showSerName val="0"/>
          <c:showPercent val="0"/>
          <c:showBubbleSize val="0"/>
        </c:dLbls>
        <c:marker val="1"/>
        <c:smooth val="0"/>
        <c:axId val="1088091376"/>
        <c:axId val="1088088016"/>
      </c:lineChart>
      <c:dateAx>
        <c:axId val="155481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815423"/>
        <c:crosses val="autoZero"/>
        <c:auto val="0"/>
        <c:lblOffset val="100"/>
        <c:baseTimeUnit val="days"/>
      </c:dateAx>
      <c:valAx>
        <c:axId val="1554815423"/>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4">
                    <a:lumMod val="60000"/>
                    <a:lumOff val="40000"/>
                  </a:schemeClr>
                </a:solidFill>
                <a:latin typeface="+mn-lt"/>
                <a:ea typeface="+mn-ea"/>
                <a:cs typeface="+mn-cs"/>
              </a:defRPr>
            </a:pPr>
            <a:endParaRPr lang="en-US"/>
          </a:p>
        </c:txPr>
        <c:crossAx val="1554819263"/>
        <c:crosses val="autoZero"/>
        <c:crossBetween val="between"/>
      </c:valAx>
      <c:valAx>
        <c:axId val="1088088016"/>
        <c:scaling>
          <c:orientation val="minMax"/>
        </c:scaling>
        <c:delete val="0"/>
        <c:axPos val="r"/>
        <c:numFmt formatCode="General"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1000" b="1" i="0" u="none" strike="noStrike" kern="1200" baseline="0">
                <a:solidFill>
                  <a:schemeClr val="accent4">
                    <a:lumMod val="60000"/>
                    <a:lumOff val="40000"/>
                  </a:schemeClr>
                </a:solidFill>
                <a:latin typeface="+mn-lt"/>
                <a:ea typeface="+mn-ea"/>
                <a:cs typeface="+mn-cs"/>
              </a:defRPr>
            </a:pPr>
            <a:endParaRPr lang="en-US"/>
          </a:p>
        </c:txPr>
        <c:crossAx val="1088091376"/>
        <c:crosses val="max"/>
        <c:crossBetween val="between"/>
      </c:valAx>
      <c:catAx>
        <c:axId val="1088091376"/>
        <c:scaling>
          <c:orientation val="minMax"/>
        </c:scaling>
        <c:delete val="1"/>
        <c:axPos val="b"/>
        <c:numFmt formatCode="General" sourceLinked="1"/>
        <c:majorTickMark val="none"/>
        <c:minorTickMark val="none"/>
        <c:tickLblPos val="nextTo"/>
        <c:crossAx val="1088088016"/>
        <c:crosses val="autoZero"/>
        <c:auto val="1"/>
        <c:lblAlgn val="ctr"/>
        <c:lblOffset val="100"/>
        <c:noMultiLvlLbl val="0"/>
      </c:catAx>
      <c:spPr>
        <a:noFill/>
        <a:ln>
          <a:noFill/>
        </a:ln>
        <a:effectLst/>
      </c:spPr>
    </c:plotArea>
    <c:legend>
      <c:legendPos val="b"/>
      <c:layout>
        <c:manualLayout>
          <c:xMode val="edge"/>
          <c:yMode val="edge"/>
          <c:x val="0.3143306135236576"/>
          <c:y val="0.96575113810498703"/>
          <c:w val="0.36182742751438851"/>
          <c:h val="3.42488618950129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21" Type="http://schemas.openxmlformats.org/officeDocument/2006/relationships/image" Target="../media/image15.png"/><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6.sv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7697</xdr:colOff>
      <xdr:row>0</xdr:row>
      <xdr:rowOff>0</xdr:rowOff>
    </xdr:from>
    <xdr:to>
      <xdr:col>24</xdr:col>
      <xdr:colOff>89962</xdr:colOff>
      <xdr:row>45</xdr:row>
      <xdr:rowOff>107758</xdr:rowOff>
    </xdr:to>
    <xdr:sp macro="" textlink="">
      <xdr:nvSpPr>
        <xdr:cNvPr id="82" name="Rectangle 81">
          <a:extLst>
            <a:ext uri="{FF2B5EF4-FFF2-40B4-BE49-F238E27FC236}">
              <a16:creationId xmlns:a16="http://schemas.microsoft.com/office/drawing/2014/main" id="{1C8B122A-B924-4ABE-AA46-EA545D4E6303}"/>
            </a:ext>
          </a:extLst>
        </xdr:cNvPr>
        <xdr:cNvSpPr/>
      </xdr:nvSpPr>
      <xdr:spPr>
        <a:xfrm>
          <a:off x="7697" y="0"/>
          <a:ext cx="14675720" cy="842048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37387</xdr:colOff>
      <xdr:row>0</xdr:row>
      <xdr:rowOff>103346</xdr:rowOff>
    </xdr:from>
    <xdr:to>
      <xdr:col>7</xdr:col>
      <xdr:colOff>30481</xdr:colOff>
      <xdr:row>7</xdr:row>
      <xdr:rowOff>15240</xdr:rowOff>
    </xdr:to>
    <xdr:sp macro="" textlink="">
      <xdr:nvSpPr>
        <xdr:cNvPr id="3" name="Rectangle: Rounded Corners 2">
          <a:extLst>
            <a:ext uri="{FF2B5EF4-FFF2-40B4-BE49-F238E27FC236}">
              <a16:creationId xmlns:a16="http://schemas.microsoft.com/office/drawing/2014/main" id="{1327709F-5D7C-F0AE-A249-013E1E80E80B}"/>
            </a:ext>
          </a:extLst>
        </xdr:cNvPr>
        <xdr:cNvSpPr/>
      </xdr:nvSpPr>
      <xdr:spPr>
        <a:xfrm>
          <a:off x="37387" y="103346"/>
          <a:ext cx="4260294" cy="1192054"/>
        </a:xfrm>
        <a:prstGeom prst="roundRect">
          <a:avLst/>
        </a:prstGeom>
        <a:ln>
          <a:no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xdr:colOff>
      <xdr:row>2</xdr:row>
      <xdr:rowOff>13810</xdr:rowOff>
    </xdr:from>
    <xdr:to>
      <xdr:col>7</xdr:col>
      <xdr:colOff>289560</xdr:colOff>
      <xdr:row>5</xdr:row>
      <xdr:rowOff>99059</xdr:rowOff>
    </xdr:to>
    <xdr:sp macro="" textlink="">
      <xdr:nvSpPr>
        <xdr:cNvPr id="4" name="TextBox 3">
          <a:extLst>
            <a:ext uri="{FF2B5EF4-FFF2-40B4-BE49-F238E27FC236}">
              <a16:creationId xmlns:a16="http://schemas.microsoft.com/office/drawing/2014/main" id="{558B63B4-E499-AE59-5581-E778C9804EA2}"/>
            </a:ext>
          </a:extLst>
        </xdr:cNvPr>
        <xdr:cNvSpPr txBox="1"/>
      </xdr:nvSpPr>
      <xdr:spPr>
        <a:xfrm>
          <a:off x="617220" y="379570"/>
          <a:ext cx="3939540" cy="633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SALES</a:t>
          </a:r>
          <a:r>
            <a:rPr lang="en-IN" sz="1800" b="1" baseline="0">
              <a:solidFill>
                <a:schemeClr val="bg1"/>
              </a:solidFill>
            </a:rPr>
            <a:t> PERFORMANCE DASHBOARD</a:t>
          </a:r>
        </a:p>
        <a:p>
          <a:r>
            <a:rPr lang="en-IN" sz="1000" baseline="0">
              <a:solidFill>
                <a:schemeClr val="bg1"/>
              </a:solidFill>
            </a:rPr>
            <a:t>Analyzing sales, profit,current trends</a:t>
          </a:r>
          <a:endParaRPr lang="en-IN" sz="1000">
            <a:solidFill>
              <a:schemeClr val="bg1"/>
            </a:solidFill>
          </a:endParaRPr>
        </a:p>
      </xdr:txBody>
    </xdr:sp>
    <xdr:clientData/>
  </xdr:twoCellAnchor>
  <xdr:twoCellAnchor>
    <xdr:from>
      <xdr:col>0</xdr:col>
      <xdr:colOff>92364</xdr:colOff>
      <xdr:row>7</xdr:row>
      <xdr:rowOff>106681</xdr:rowOff>
    </xdr:from>
    <xdr:to>
      <xdr:col>6</xdr:col>
      <xdr:colOff>121920</xdr:colOff>
      <xdr:row>20</xdr:row>
      <xdr:rowOff>137161</xdr:rowOff>
    </xdr:to>
    <xdr:sp macro="" textlink="">
      <xdr:nvSpPr>
        <xdr:cNvPr id="10" name="Rectangle: Rounded Corners 9">
          <a:extLst>
            <a:ext uri="{FF2B5EF4-FFF2-40B4-BE49-F238E27FC236}">
              <a16:creationId xmlns:a16="http://schemas.microsoft.com/office/drawing/2014/main" id="{B8F041CC-2A4D-AD1F-FA69-1103E680BE27}"/>
            </a:ext>
          </a:extLst>
        </xdr:cNvPr>
        <xdr:cNvSpPr/>
      </xdr:nvSpPr>
      <xdr:spPr>
        <a:xfrm>
          <a:off x="92364" y="1399772"/>
          <a:ext cx="3677920" cy="243193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167640</xdr:colOff>
      <xdr:row>8</xdr:row>
      <xdr:rowOff>111636</xdr:rowOff>
    </xdr:from>
    <xdr:to>
      <xdr:col>10</xdr:col>
      <xdr:colOff>491021</xdr:colOff>
      <xdr:row>20</xdr:row>
      <xdr:rowOff>60959</xdr:rowOff>
    </xdr:to>
    <xdr:sp macro="" textlink="">
      <xdr:nvSpPr>
        <xdr:cNvPr id="11" name="Rectangle: Rounded Corners 10">
          <a:extLst>
            <a:ext uri="{FF2B5EF4-FFF2-40B4-BE49-F238E27FC236}">
              <a16:creationId xmlns:a16="http://schemas.microsoft.com/office/drawing/2014/main" id="{4698CC58-03AE-9748-33B4-0284BF876789}"/>
            </a:ext>
          </a:extLst>
        </xdr:cNvPr>
        <xdr:cNvSpPr/>
      </xdr:nvSpPr>
      <xdr:spPr>
        <a:xfrm>
          <a:off x="3825240" y="1574676"/>
          <a:ext cx="2761781" cy="2143883"/>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565920</xdr:colOff>
      <xdr:row>8</xdr:row>
      <xdr:rowOff>116568</xdr:rowOff>
    </xdr:from>
    <xdr:to>
      <xdr:col>15</xdr:col>
      <xdr:colOff>190500</xdr:colOff>
      <xdr:row>20</xdr:row>
      <xdr:rowOff>67982</xdr:rowOff>
    </xdr:to>
    <xdr:sp macro="" textlink="">
      <xdr:nvSpPr>
        <xdr:cNvPr id="12" name="Rectangle: Rounded Corners 11">
          <a:extLst>
            <a:ext uri="{FF2B5EF4-FFF2-40B4-BE49-F238E27FC236}">
              <a16:creationId xmlns:a16="http://schemas.microsoft.com/office/drawing/2014/main" id="{2DF7DEB4-3F95-DEEB-2A00-6096BA364B5A}"/>
            </a:ext>
          </a:extLst>
        </xdr:cNvPr>
        <xdr:cNvSpPr/>
      </xdr:nvSpPr>
      <xdr:spPr>
        <a:xfrm>
          <a:off x="6661920" y="1579608"/>
          <a:ext cx="2672580" cy="214597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387239</xdr:colOff>
      <xdr:row>21</xdr:row>
      <xdr:rowOff>27204</xdr:rowOff>
    </xdr:from>
    <xdr:to>
      <xdr:col>19</xdr:col>
      <xdr:colOff>349138</xdr:colOff>
      <xdr:row>39</xdr:row>
      <xdr:rowOff>69273</xdr:rowOff>
    </xdr:to>
    <xdr:sp macro="" textlink="">
      <xdr:nvSpPr>
        <xdr:cNvPr id="13" name="Rectangle: Rounded Corners 12">
          <a:extLst>
            <a:ext uri="{FF2B5EF4-FFF2-40B4-BE49-F238E27FC236}">
              <a16:creationId xmlns:a16="http://schemas.microsoft.com/office/drawing/2014/main" id="{8F7627FE-377A-DB33-8E4C-A694F0B84378}"/>
            </a:ext>
          </a:extLst>
        </xdr:cNvPr>
        <xdr:cNvSpPr/>
      </xdr:nvSpPr>
      <xdr:spPr>
        <a:xfrm>
          <a:off x="6467845" y="3906477"/>
          <a:ext cx="5434445" cy="3367160"/>
        </a:xfrm>
        <a:prstGeom prst="roundRect">
          <a:avLst/>
        </a:prstGeom>
        <a:ln>
          <a:solidFill>
            <a:schemeClr val="accent4">
              <a:lumMod val="5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472440</xdr:colOff>
      <xdr:row>21</xdr:row>
      <xdr:rowOff>61073</xdr:rowOff>
    </xdr:from>
    <xdr:to>
      <xdr:col>10</xdr:col>
      <xdr:colOff>285088</xdr:colOff>
      <xdr:row>39</xdr:row>
      <xdr:rowOff>53878</xdr:rowOff>
    </xdr:to>
    <xdr:sp macro="" textlink="">
      <xdr:nvSpPr>
        <xdr:cNvPr id="17" name="Rectangle: Rounded Corners 16">
          <a:extLst>
            <a:ext uri="{FF2B5EF4-FFF2-40B4-BE49-F238E27FC236}">
              <a16:creationId xmlns:a16="http://schemas.microsoft.com/office/drawing/2014/main" id="{26A1383F-9942-14A9-C066-15E9A6A5FBDD}"/>
            </a:ext>
          </a:extLst>
        </xdr:cNvPr>
        <xdr:cNvSpPr/>
      </xdr:nvSpPr>
      <xdr:spPr>
        <a:xfrm>
          <a:off x="472440" y="3940346"/>
          <a:ext cx="5893254" cy="3317896"/>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175260</xdr:colOff>
      <xdr:row>9</xdr:row>
      <xdr:rowOff>14393</xdr:rowOff>
    </xdr:from>
    <xdr:to>
      <xdr:col>10</xdr:col>
      <xdr:colOff>533400</xdr:colOff>
      <xdr:row>20</xdr:row>
      <xdr:rowOff>37253</xdr:rowOff>
    </xdr:to>
    <xdr:graphicFrame macro="">
      <xdr:nvGraphicFramePr>
        <xdr:cNvPr id="22" name="Chart 21">
          <a:extLst>
            <a:ext uri="{FF2B5EF4-FFF2-40B4-BE49-F238E27FC236}">
              <a16:creationId xmlns:a16="http://schemas.microsoft.com/office/drawing/2014/main" id="{E286A669-DD53-4639-A229-649CB31B7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xdr:row>
      <xdr:rowOff>149860</xdr:rowOff>
    </xdr:from>
    <xdr:to>
      <xdr:col>6</xdr:col>
      <xdr:colOff>113432</xdr:colOff>
      <xdr:row>18</xdr:row>
      <xdr:rowOff>114300</xdr:rowOff>
    </xdr:to>
    <xdr:graphicFrame macro="">
      <xdr:nvGraphicFramePr>
        <xdr:cNvPr id="23" name="Chart 22">
          <a:extLst>
            <a:ext uri="{FF2B5EF4-FFF2-40B4-BE49-F238E27FC236}">
              <a16:creationId xmlns:a16="http://schemas.microsoft.com/office/drawing/2014/main" id="{CE486439-7736-425B-A699-5134DDBA2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581437</xdr:colOff>
      <xdr:row>8</xdr:row>
      <xdr:rowOff>41813</xdr:rowOff>
    </xdr:from>
    <xdr:to>
      <xdr:col>15</xdr:col>
      <xdr:colOff>211117</xdr:colOff>
      <xdr:row>19</xdr:row>
      <xdr:rowOff>99060</xdr:rowOff>
    </xdr:to>
    <xdr:graphicFrame macro="">
      <xdr:nvGraphicFramePr>
        <xdr:cNvPr id="24" name="Chart 23">
          <a:extLst>
            <a:ext uri="{FF2B5EF4-FFF2-40B4-BE49-F238E27FC236}">
              <a16:creationId xmlns:a16="http://schemas.microsoft.com/office/drawing/2014/main" id="{59C52347-DAE3-4690-BA1F-BA833795B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376891</xdr:colOff>
      <xdr:row>21</xdr:row>
      <xdr:rowOff>40234</xdr:rowOff>
    </xdr:from>
    <xdr:to>
      <xdr:col>19</xdr:col>
      <xdr:colOff>239730</xdr:colOff>
      <xdr:row>39</xdr:row>
      <xdr:rowOff>34118</xdr:rowOff>
    </xdr:to>
    <xdr:graphicFrame macro="">
      <xdr:nvGraphicFramePr>
        <xdr:cNvPr id="25" name="Chart 24">
          <a:extLst>
            <a:ext uri="{FF2B5EF4-FFF2-40B4-BE49-F238E27FC236}">
              <a16:creationId xmlns:a16="http://schemas.microsoft.com/office/drawing/2014/main" id="{016A4DFB-1E00-416E-93C0-58469CA3D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472440</xdr:colOff>
      <xdr:row>0</xdr:row>
      <xdr:rowOff>184726</xdr:rowOff>
    </xdr:from>
    <xdr:to>
      <xdr:col>23</xdr:col>
      <xdr:colOff>358140</xdr:colOff>
      <xdr:row>39</xdr:row>
      <xdr:rowOff>7619</xdr:rowOff>
    </xdr:to>
    <xdr:sp macro="" textlink="">
      <xdr:nvSpPr>
        <xdr:cNvPr id="28" name="Rectangle 27">
          <a:extLst>
            <a:ext uri="{FF2B5EF4-FFF2-40B4-BE49-F238E27FC236}">
              <a16:creationId xmlns:a16="http://schemas.microsoft.com/office/drawing/2014/main" id="{5DED0512-B478-3A7E-A658-5C227CB84230}"/>
            </a:ext>
          </a:extLst>
        </xdr:cNvPr>
        <xdr:cNvSpPr/>
      </xdr:nvSpPr>
      <xdr:spPr>
        <a:xfrm>
          <a:off x="12025592" y="184726"/>
          <a:ext cx="2317942" cy="7027257"/>
        </a:xfrm>
        <a:prstGeom prst="rect">
          <a:avLst/>
        </a:prstGeom>
        <a:solidFill>
          <a:schemeClr val="accent4">
            <a:lumMod val="40000"/>
            <a:lumOff val="60000"/>
          </a:schemeClr>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152400</xdr:colOff>
      <xdr:row>22</xdr:row>
      <xdr:rowOff>27523</xdr:rowOff>
    </xdr:from>
    <xdr:to>
      <xdr:col>10</xdr:col>
      <xdr:colOff>60960</xdr:colOff>
      <xdr:row>36</xdr:row>
      <xdr:rowOff>156154</xdr:rowOff>
    </xdr:to>
    <xdr:graphicFrame macro="">
      <xdr:nvGraphicFramePr>
        <xdr:cNvPr id="31" name="Chart 30">
          <a:extLst>
            <a:ext uri="{FF2B5EF4-FFF2-40B4-BE49-F238E27FC236}">
              <a16:creationId xmlns:a16="http://schemas.microsoft.com/office/drawing/2014/main" id="{850F50E1-B0CD-4182-A4CF-274FC68A3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289561</xdr:colOff>
      <xdr:row>8</xdr:row>
      <xdr:rowOff>116568</xdr:rowOff>
    </xdr:from>
    <xdr:to>
      <xdr:col>19</xdr:col>
      <xdr:colOff>342901</xdr:colOff>
      <xdr:row>20</xdr:row>
      <xdr:rowOff>67982</xdr:rowOff>
    </xdr:to>
    <xdr:sp macro="" textlink="">
      <xdr:nvSpPr>
        <xdr:cNvPr id="36" name="Rectangle: Rounded Corners 35">
          <a:extLst>
            <a:ext uri="{FF2B5EF4-FFF2-40B4-BE49-F238E27FC236}">
              <a16:creationId xmlns:a16="http://schemas.microsoft.com/office/drawing/2014/main" id="{C4CCA688-4F2F-55EC-1DA3-02A8F8C34DDF}"/>
            </a:ext>
          </a:extLst>
        </xdr:cNvPr>
        <xdr:cNvSpPr/>
      </xdr:nvSpPr>
      <xdr:spPr>
        <a:xfrm>
          <a:off x="9433561" y="1579608"/>
          <a:ext cx="2491740" cy="214597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320040</xdr:colOff>
      <xdr:row>8</xdr:row>
      <xdr:rowOff>111162</xdr:rowOff>
    </xdr:from>
    <xdr:to>
      <xdr:col>19</xdr:col>
      <xdr:colOff>327660</xdr:colOff>
      <xdr:row>19</xdr:row>
      <xdr:rowOff>114300</xdr:rowOff>
    </xdr:to>
    <xdr:graphicFrame macro="">
      <xdr:nvGraphicFramePr>
        <xdr:cNvPr id="37" name="Chart 36">
          <a:extLst>
            <a:ext uri="{FF2B5EF4-FFF2-40B4-BE49-F238E27FC236}">
              <a16:creationId xmlns:a16="http://schemas.microsoft.com/office/drawing/2014/main" id="{D6982EAF-E21E-4C49-9E6D-7231F028B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533400</xdr:colOff>
      <xdr:row>1</xdr:row>
      <xdr:rowOff>59709</xdr:rowOff>
    </xdr:from>
    <xdr:to>
      <xdr:col>23</xdr:col>
      <xdr:colOff>281940</xdr:colOff>
      <xdr:row>5</xdr:row>
      <xdr:rowOff>106681</xdr:rowOff>
    </xdr:to>
    <mc:AlternateContent xmlns:mc="http://schemas.openxmlformats.org/markup-compatibility/2006" xmlns:a14="http://schemas.microsoft.com/office/drawing/2010/main">
      <mc:Choice Requires="a14">
        <xdr:graphicFrame macro="">
          <xdr:nvGraphicFramePr>
            <xdr:cNvPr id="38" name="Country 1">
              <a:extLst>
                <a:ext uri="{FF2B5EF4-FFF2-40B4-BE49-F238E27FC236}">
                  <a16:creationId xmlns:a16="http://schemas.microsoft.com/office/drawing/2014/main" id="{1A9CDDE9-0C91-462E-B73B-B9DADF0B52A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086552" y="244436"/>
              <a:ext cx="2180782" cy="785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541020</xdr:colOff>
      <xdr:row>5</xdr:row>
      <xdr:rowOff>135908</xdr:rowOff>
    </xdr:from>
    <xdr:to>
      <xdr:col>23</xdr:col>
      <xdr:colOff>274320</xdr:colOff>
      <xdr:row>9</xdr:row>
      <xdr:rowOff>160388</xdr:rowOff>
    </xdr:to>
    <mc:AlternateContent xmlns:mc="http://schemas.openxmlformats.org/markup-compatibility/2006" xmlns:a14="http://schemas.microsoft.com/office/drawing/2010/main">
      <mc:Choice Requires="a14">
        <xdr:graphicFrame macro="">
          <xdr:nvGraphicFramePr>
            <xdr:cNvPr id="39" name="Category 1">
              <a:extLst>
                <a:ext uri="{FF2B5EF4-FFF2-40B4-BE49-F238E27FC236}">
                  <a16:creationId xmlns:a16="http://schemas.microsoft.com/office/drawing/2014/main" id="{869A1EFE-E7E9-405E-B32A-7D562A69358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094172" y="1059544"/>
              <a:ext cx="2165542" cy="763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533400</xdr:colOff>
      <xdr:row>10</xdr:row>
      <xdr:rowOff>36848</xdr:rowOff>
    </xdr:from>
    <xdr:to>
      <xdr:col>23</xdr:col>
      <xdr:colOff>251460</xdr:colOff>
      <xdr:row>14</xdr:row>
      <xdr:rowOff>83819</xdr:rowOff>
    </xdr:to>
    <mc:AlternateContent xmlns:mc="http://schemas.openxmlformats.org/markup-compatibility/2006" xmlns:a14="http://schemas.microsoft.com/office/drawing/2010/main">
      <mc:Choice Requires="a14">
        <xdr:graphicFrame macro="">
          <xdr:nvGraphicFramePr>
            <xdr:cNvPr id="42" name="Payment Mode 1">
              <a:extLst>
                <a:ext uri="{FF2B5EF4-FFF2-40B4-BE49-F238E27FC236}">
                  <a16:creationId xmlns:a16="http://schemas.microsoft.com/office/drawing/2014/main" id="{504317A6-05AC-474F-A32B-5975687FCF59}"/>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2086552" y="1884121"/>
              <a:ext cx="2150302" cy="78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541020</xdr:colOff>
      <xdr:row>20</xdr:row>
      <xdr:rowOff>74948</xdr:rowOff>
    </xdr:from>
    <xdr:to>
      <xdr:col>23</xdr:col>
      <xdr:colOff>281940</xdr:colOff>
      <xdr:row>26</xdr:row>
      <xdr:rowOff>129540</xdr:rowOff>
    </xdr:to>
    <mc:AlternateContent xmlns:mc="http://schemas.openxmlformats.org/markup-compatibility/2006" xmlns:a14="http://schemas.microsoft.com/office/drawing/2010/main">
      <mc:Choice Requires="a14">
        <xdr:graphicFrame macro="">
          <xdr:nvGraphicFramePr>
            <xdr:cNvPr id="44" name="Product 1">
              <a:extLst>
                <a:ext uri="{FF2B5EF4-FFF2-40B4-BE49-F238E27FC236}">
                  <a16:creationId xmlns:a16="http://schemas.microsoft.com/office/drawing/2014/main" id="{9D181AE5-C602-44A8-90D0-E7ECAA81E3D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094172" y="3769493"/>
              <a:ext cx="2173162" cy="1162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556260</xdr:colOff>
      <xdr:row>26</xdr:row>
      <xdr:rowOff>174008</xdr:rowOff>
    </xdr:from>
    <xdr:to>
      <xdr:col>23</xdr:col>
      <xdr:colOff>259080</xdr:colOff>
      <xdr:row>36</xdr:row>
      <xdr:rowOff>129540</xdr:rowOff>
    </xdr:to>
    <mc:AlternateContent xmlns:mc="http://schemas.openxmlformats.org/markup-compatibility/2006" xmlns:a14="http://schemas.microsoft.com/office/drawing/2010/main">
      <mc:Choice Requires="a14">
        <xdr:graphicFrame macro="">
          <xdr:nvGraphicFramePr>
            <xdr:cNvPr id="46" name="Salesperson 1">
              <a:extLst>
                <a:ext uri="{FF2B5EF4-FFF2-40B4-BE49-F238E27FC236}">
                  <a16:creationId xmlns:a16="http://schemas.microsoft.com/office/drawing/2014/main" id="{D610A079-648B-462F-9503-4CEEC7647B8A}"/>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2109412" y="4976917"/>
              <a:ext cx="2135062" cy="1802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525780</xdr:colOff>
      <xdr:row>14</xdr:row>
      <xdr:rowOff>121919</xdr:rowOff>
    </xdr:from>
    <xdr:to>
      <xdr:col>23</xdr:col>
      <xdr:colOff>274320</xdr:colOff>
      <xdr:row>20</xdr:row>
      <xdr:rowOff>32639</xdr:rowOff>
    </xdr:to>
    <mc:AlternateContent xmlns:mc="http://schemas.openxmlformats.org/markup-compatibility/2006" xmlns:a14="http://schemas.microsoft.com/office/drawing/2010/main">
      <mc:Choice Requires="a14">
        <xdr:graphicFrame macro="">
          <xdr:nvGraphicFramePr>
            <xdr:cNvPr id="47" name="Months  1">
              <a:extLst>
                <a:ext uri="{FF2B5EF4-FFF2-40B4-BE49-F238E27FC236}">
                  <a16:creationId xmlns:a16="http://schemas.microsoft.com/office/drawing/2014/main" id="{39736368-40C8-4556-BAF2-563D7C55B2FD}"/>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2078932" y="2708101"/>
              <a:ext cx="2180782" cy="1019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403937</xdr:colOff>
      <xdr:row>0</xdr:row>
      <xdr:rowOff>147735</xdr:rowOff>
    </xdr:from>
    <xdr:to>
      <xdr:col>19</xdr:col>
      <xdr:colOff>443788</xdr:colOff>
      <xdr:row>5</xdr:row>
      <xdr:rowOff>129540</xdr:rowOff>
    </xdr:to>
    <xdr:grpSp>
      <xdr:nvGrpSpPr>
        <xdr:cNvPr id="54" name="Group 53">
          <a:extLst>
            <a:ext uri="{FF2B5EF4-FFF2-40B4-BE49-F238E27FC236}">
              <a16:creationId xmlns:a16="http://schemas.microsoft.com/office/drawing/2014/main" id="{2C3325FA-88A8-5AF1-9C91-C4BF937A1429}"/>
            </a:ext>
          </a:extLst>
        </xdr:cNvPr>
        <xdr:cNvGrpSpPr/>
      </xdr:nvGrpSpPr>
      <xdr:grpSpPr>
        <a:xfrm>
          <a:off x="10107774" y="147735"/>
          <a:ext cx="1859320" cy="914866"/>
          <a:chOff x="10843261" y="30480"/>
          <a:chExt cx="1868650" cy="826771"/>
        </a:xfrm>
      </xdr:grpSpPr>
      <xdr:sp macro="" textlink="">
        <xdr:nvSpPr>
          <xdr:cNvPr id="5" name="Rectangle: Rounded Corners 4">
            <a:extLst>
              <a:ext uri="{FF2B5EF4-FFF2-40B4-BE49-F238E27FC236}">
                <a16:creationId xmlns:a16="http://schemas.microsoft.com/office/drawing/2014/main" id="{22471CDE-D804-8E14-6471-F0B273C68D7C}"/>
              </a:ext>
            </a:extLst>
          </xdr:cNvPr>
          <xdr:cNvSpPr/>
        </xdr:nvSpPr>
        <xdr:spPr>
          <a:xfrm>
            <a:off x="10847392" y="30480"/>
            <a:ext cx="1864519" cy="826771"/>
          </a:xfrm>
          <a:prstGeom prst="roundRect">
            <a:avLst/>
          </a:prstGeom>
          <a:ln>
            <a:no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sp macro="" textlink="">
        <xdr:nvSpPr>
          <xdr:cNvPr id="53" name="Rectangle: Rounded Corners 52">
            <a:extLst>
              <a:ext uri="{FF2B5EF4-FFF2-40B4-BE49-F238E27FC236}">
                <a16:creationId xmlns:a16="http://schemas.microsoft.com/office/drawing/2014/main" id="{F469764A-E519-D79D-9CB0-DAA43D8666E1}"/>
              </a:ext>
            </a:extLst>
          </xdr:cNvPr>
          <xdr:cNvSpPr/>
        </xdr:nvSpPr>
        <xdr:spPr>
          <a:xfrm>
            <a:off x="10843261" y="30480"/>
            <a:ext cx="518160" cy="822960"/>
          </a:xfrm>
          <a:prstGeom prst="roundRect">
            <a:avLst/>
          </a:prstGeom>
          <a:solidFill>
            <a:schemeClr val="accent4">
              <a:lumMod val="60000"/>
              <a:lumOff val="40000"/>
            </a:schemeClr>
          </a:solidFill>
          <a:ln>
            <a:solidFill>
              <a:schemeClr val="accent4">
                <a:lumMod val="60000"/>
                <a:lumOff val="4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clientData/>
  </xdr:twoCellAnchor>
  <xdr:twoCellAnchor>
    <xdr:from>
      <xdr:col>13</xdr:col>
      <xdr:colOff>327660</xdr:colOff>
      <xdr:row>0</xdr:row>
      <xdr:rowOff>129540</xdr:rowOff>
    </xdr:from>
    <xdr:to>
      <xdr:col>16</xdr:col>
      <xdr:colOff>367511</xdr:colOff>
      <xdr:row>5</xdr:row>
      <xdr:rowOff>152400</xdr:rowOff>
    </xdr:to>
    <xdr:grpSp>
      <xdr:nvGrpSpPr>
        <xdr:cNvPr id="55" name="Group 54">
          <a:extLst>
            <a:ext uri="{FF2B5EF4-FFF2-40B4-BE49-F238E27FC236}">
              <a16:creationId xmlns:a16="http://schemas.microsoft.com/office/drawing/2014/main" id="{C81CC5B0-FA7A-5C0E-1847-CACBF8A82E45}"/>
            </a:ext>
          </a:extLst>
        </xdr:cNvPr>
        <xdr:cNvGrpSpPr/>
      </xdr:nvGrpSpPr>
      <xdr:grpSpPr>
        <a:xfrm>
          <a:off x="8212027" y="129540"/>
          <a:ext cx="1859321" cy="955921"/>
          <a:chOff x="10843260" y="30480"/>
          <a:chExt cx="1868651" cy="826771"/>
        </a:xfrm>
      </xdr:grpSpPr>
      <xdr:sp macro="" textlink="">
        <xdr:nvSpPr>
          <xdr:cNvPr id="56" name="Rectangle: Rounded Corners 55">
            <a:extLst>
              <a:ext uri="{FF2B5EF4-FFF2-40B4-BE49-F238E27FC236}">
                <a16:creationId xmlns:a16="http://schemas.microsoft.com/office/drawing/2014/main" id="{77AFCCC4-D4EA-C2FB-5ED2-212F7E20F246}"/>
              </a:ext>
            </a:extLst>
          </xdr:cNvPr>
          <xdr:cNvSpPr/>
        </xdr:nvSpPr>
        <xdr:spPr>
          <a:xfrm>
            <a:off x="10847392" y="30480"/>
            <a:ext cx="1864519" cy="826771"/>
          </a:xfrm>
          <a:prstGeom prst="roundRect">
            <a:avLst/>
          </a:prstGeom>
          <a:ln>
            <a:no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sp macro="" textlink="">
        <xdr:nvSpPr>
          <xdr:cNvPr id="57" name="Rectangle: Rounded Corners 56">
            <a:extLst>
              <a:ext uri="{FF2B5EF4-FFF2-40B4-BE49-F238E27FC236}">
                <a16:creationId xmlns:a16="http://schemas.microsoft.com/office/drawing/2014/main" id="{88B87C24-8616-9C56-CD2A-2B26D1AE89BD}"/>
              </a:ext>
            </a:extLst>
          </xdr:cNvPr>
          <xdr:cNvSpPr/>
        </xdr:nvSpPr>
        <xdr:spPr>
          <a:xfrm>
            <a:off x="10843260" y="30480"/>
            <a:ext cx="518160" cy="822960"/>
          </a:xfrm>
          <a:prstGeom prst="roundRect">
            <a:avLst/>
          </a:prstGeom>
          <a:solidFill>
            <a:schemeClr val="accent4">
              <a:lumMod val="60000"/>
              <a:lumOff val="40000"/>
            </a:schemeClr>
          </a:solidFill>
          <a:ln>
            <a:solidFill>
              <a:schemeClr val="accent4">
                <a:lumMod val="60000"/>
                <a:lumOff val="4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clientData/>
  </xdr:twoCellAnchor>
  <xdr:twoCellAnchor>
    <xdr:from>
      <xdr:col>10</xdr:col>
      <xdr:colOff>190500</xdr:colOff>
      <xdr:row>0</xdr:row>
      <xdr:rowOff>137160</xdr:rowOff>
    </xdr:from>
    <xdr:to>
      <xdr:col>13</xdr:col>
      <xdr:colOff>230351</xdr:colOff>
      <xdr:row>5</xdr:row>
      <xdr:rowOff>167640</xdr:rowOff>
    </xdr:to>
    <xdr:grpSp>
      <xdr:nvGrpSpPr>
        <xdr:cNvPr id="58" name="Group 57">
          <a:extLst>
            <a:ext uri="{FF2B5EF4-FFF2-40B4-BE49-F238E27FC236}">
              <a16:creationId xmlns:a16="http://schemas.microsoft.com/office/drawing/2014/main" id="{CA1DC340-4851-0806-8C22-54D02D67DD2F}"/>
            </a:ext>
          </a:extLst>
        </xdr:cNvPr>
        <xdr:cNvGrpSpPr/>
      </xdr:nvGrpSpPr>
      <xdr:grpSpPr>
        <a:xfrm>
          <a:off x="6255398" y="137160"/>
          <a:ext cx="1859320" cy="963541"/>
          <a:chOff x="10843260" y="30480"/>
          <a:chExt cx="1868651" cy="826771"/>
        </a:xfrm>
      </xdr:grpSpPr>
      <xdr:sp macro="" textlink="">
        <xdr:nvSpPr>
          <xdr:cNvPr id="59" name="Rectangle: Rounded Corners 58">
            <a:extLst>
              <a:ext uri="{FF2B5EF4-FFF2-40B4-BE49-F238E27FC236}">
                <a16:creationId xmlns:a16="http://schemas.microsoft.com/office/drawing/2014/main" id="{6F907F75-78CA-723C-720C-032467C759BA}"/>
              </a:ext>
            </a:extLst>
          </xdr:cNvPr>
          <xdr:cNvSpPr/>
        </xdr:nvSpPr>
        <xdr:spPr>
          <a:xfrm>
            <a:off x="10847392" y="30480"/>
            <a:ext cx="1864519" cy="826771"/>
          </a:xfrm>
          <a:prstGeom prst="roundRect">
            <a:avLst/>
          </a:prstGeom>
          <a:ln>
            <a:no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sp macro="" textlink="">
        <xdr:nvSpPr>
          <xdr:cNvPr id="60" name="Rectangle: Rounded Corners 59">
            <a:extLst>
              <a:ext uri="{FF2B5EF4-FFF2-40B4-BE49-F238E27FC236}">
                <a16:creationId xmlns:a16="http://schemas.microsoft.com/office/drawing/2014/main" id="{6AC89933-674E-9134-6948-691065317D8C}"/>
              </a:ext>
            </a:extLst>
          </xdr:cNvPr>
          <xdr:cNvSpPr/>
        </xdr:nvSpPr>
        <xdr:spPr>
          <a:xfrm>
            <a:off x="10843260" y="30480"/>
            <a:ext cx="518160" cy="822960"/>
          </a:xfrm>
          <a:prstGeom prst="roundRect">
            <a:avLst/>
          </a:prstGeom>
          <a:solidFill>
            <a:schemeClr val="accent4">
              <a:lumMod val="60000"/>
              <a:lumOff val="40000"/>
            </a:schemeClr>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76200</xdr:colOff>
      <xdr:row>0</xdr:row>
      <xdr:rowOff>129540</xdr:rowOff>
    </xdr:from>
    <xdr:to>
      <xdr:col>10</xdr:col>
      <xdr:colOff>123671</xdr:colOff>
      <xdr:row>5</xdr:row>
      <xdr:rowOff>137160</xdr:rowOff>
    </xdr:to>
    <xdr:grpSp>
      <xdr:nvGrpSpPr>
        <xdr:cNvPr id="61" name="Group 60">
          <a:extLst>
            <a:ext uri="{FF2B5EF4-FFF2-40B4-BE49-F238E27FC236}">
              <a16:creationId xmlns:a16="http://schemas.microsoft.com/office/drawing/2014/main" id="{B7A11348-B281-5710-C54F-9890903E09AE}"/>
            </a:ext>
          </a:extLst>
        </xdr:cNvPr>
        <xdr:cNvGrpSpPr/>
      </xdr:nvGrpSpPr>
      <xdr:grpSpPr>
        <a:xfrm>
          <a:off x="4321629" y="129540"/>
          <a:ext cx="1866940" cy="940681"/>
          <a:chOff x="10835640" y="30480"/>
          <a:chExt cx="1876271" cy="826771"/>
        </a:xfrm>
      </xdr:grpSpPr>
      <xdr:sp macro="" textlink="">
        <xdr:nvSpPr>
          <xdr:cNvPr id="62" name="Rectangle: Rounded Corners 61">
            <a:extLst>
              <a:ext uri="{FF2B5EF4-FFF2-40B4-BE49-F238E27FC236}">
                <a16:creationId xmlns:a16="http://schemas.microsoft.com/office/drawing/2014/main" id="{599B2944-62E1-BCBF-30DC-98A331E67DCA}"/>
              </a:ext>
            </a:extLst>
          </xdr:cNvPr>
          <xdr:cNvSpPr/>
        </xdr:nvSpPr>
        <xdr:spPr>
          <a:xfrm>
            <a:off x="10847392" y="30480"/>
            <a:ext cx="1864519" cy="826771"/>
          </a:xfrm>
          <a:prstGeom prst="roundRect">
            <a:avLst/>
          </a:prstGeom>
          <a:ln>
            <a:no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sp macro="" textlink="">
        <xdr:nvSpPr>
          <xdr:cNvPr id="63" name="Rectangle: Rounded Corners 62">
            <a:extLst>
              <a:ext uri="{FF2B5EF4-FFF2-40B4-BE49-F238E27FC236}">
                <a16:creationId xmlns:a16="http://schemas.microsoft.com/office/drawing/2014/main" id="{ADB5CF0F-4241-19F6-9EDA-8B3749897EFD}"/>
              </a:ext>
            </a:extLst>
          </xdr:cNvPr>
          <xdr:cNvSpPr/>
        </xdr:nvSpPr>
        <xdr:spPr>
          <a:xfrm>
            <a:off x="10835640" y="30480"/>
            <a:ext cx="518160" cy="822960"/>
          </a:xfrm>
          <a:prstGeom prst="roundRect">
            <a:avLst/>
          </a:prstGeom>
          <a:solidFill>
            <a:schemeClr val="accent4">
              <a:lumMod val="60000"/>
              <a:lumOff val="40000"/>
            </a:schemeClr>
          </a:solidFill>
          <a:ln>
            <a:solidFill>
              <a:schemeClr val="accent4">
                <a:lumMod val="60000"/>
                <a:lumOff val="4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578966</xdr:colOff>
      <xdr:row>0</xdr:row>
      <xdr:rowOff>138546</xdr:rowOff>
    </xdr:from>
    <xdr:to>
      <xdr:col>9</xdr:col>
      <xdr:colOff>441806</xdr:colOff>
      <xdr:row>1</xdr:row>
      <xdr:rowOff>153787</xdr:rowOff>
    </xdr:to>
    <xdr:sp macro="" textlink="">
      <xdr:nvSpPr>
        <xdr:cNvPr id="64" name="TextBox 63">
          <a:extLst>
            <a:ext uri="{FF2B5EF4-FFF2-40B4-BE49-F238E27FC236}">
              <a16:creationId xmlns:a16="http://schemas.microsoft.com/office/drawing/2014/main" id="{607BCB17-0924-3FF1-8882-BF7E0E4EFC20}"/>
            </a:ext>
          </a:extLst>
        </xdr:cNvPr>
        <xdr:cNvSpPr txBox="1"/>
      </xdr:nvSpPr>
      <xdr:spPr>
        <a:xfrm>
          <a:off x="4835390" y="138546"/>
          <a:ext cx="1078961" cy="199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SALES</a:t>
          </a:r>
        </a:p>
      </xdr:txBody>
    </xdr:sp>
    <xdr:clientData/>
  </xdr:twoCellAnchor>
  <xdr:twoCellAnchor>
    <xdr:from>
      <xdr:col>11</xdr:col>
      <xdr:colOff>121920</xdr:colOff>
      <xdr:row>0</xdr:row>
      <xdr:rowOff>175260</xdr:rowOff>
    </xdr:from>
    <xdr:to>
      <xdr:col>12</xdr:col>
      <xdr:colOff>594360</xdr:colOff>
      <xdr:row>2</xdr:row>
      <xdr:rowOff>7620</xdr:rowOff>
    </xdr:to>
    <xdr:sp macro="" textlink="">
      <xdr:nvSpPr>
        <xdr:cNvPr id="65" name="TextBox 64">
          <a:extLst>
            <a:ext uri="{FF2B5EF4-FFF2-40B4-BE49-F238E27FC236}">
              <a16:creationId xmlns:a16="http://schemas.microsoft.com/office/drawing/2014/main" id="{A4D1FD8F-C93F-CABB-E10F-4392D82B0D5A}"/>
            </a:ext>
          </a:extLst>
        </xdr:cNvPr>
        <xdr:cNvSpPr txBox="1"/>
      </xdr:nvSpPr>
      <xdr:spPr>
        <a:xfrm>
          <a:off x="6827520" y="175260"/>
          <a:ext cx="10820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PROFIT</a:t>
          </a:r>
        </a:p>
      </xdr:txBody>
    </xdr:sp>
    <xdr:clientData/>
  </xdr:twoCellAnchor>
  <xdr:twoCellAnchor>
    <xdr:from>
      <xdr:col>14</xdr:col>
      <xdr:colOff>289714</xdr:colOff>
      <xdr:row>1</xdr:row>
      <xdr:rowOff>114916</xdr:rowOff>
    </xdr:from>
    <xdr:to>
      <xdr:col>16</xdr:col>
      <xdr:colOff>152554</xdr:colOff>
      <xdr:row>2</xdr:row>
      <xdr:rowOff>130156</xdr:rowOff>
    </xdr:to>
    <xdr:sp macro="" textlink="">
      <xdr:nvSpPr>
        <xdr:cNvPr id="66" name="TextBox 65">
          <a:extLst>
            <a:ext uri="{FF2B5EF4-FFF2-40B4-BE49-F238E27FC236}">
              <a16:creationId xmlns:a16="http://schemas.microsoft.com/office/drawing/2014/main" id="{999D41CC-CF12-4A15-8D34-0E3D547CFCB9}"/>
            </a:ext>
          </a:extLst>
        </xdr:cNvPr>
        <xdr:cNvSpPr txBox="1"/>
      </xdr:nvSpPr>
      <xdr:spPr>
        <a:xfrm>
          <a:off x="8802562" y="299643"/>
          <a:ext cx="1078962" cy="199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UNITS</a:t>
          </a:r>
          <a:r>
            <a:rPr lang="en-IN" sz="1100" baseline="0"/>
            <a:t> SOLD</a:t>
          </a:r>
          <a:endParaRPr lang="en-IN" sz="1100"/>
        </a:p>
      </xdr:txBody>
    </xdr:sp>
    <xdr:clientData/>
  </xdr:twoCellAnchor>
  <xdr:twoCellAnchor>
    <xdr:from>
      <xdr:col>17</xdr:col>
      <xdr:colOff>342900</xdr:colOff>
      <xdr:row>1</xdr:row>
      <xdr:rowOff>84513</xdr:rowOff>
    </xdr:from>
    <xdr:to>
      <xdr:col>19</xdr:col>
      <xdr:colOff>358140</xdr:colOff>
      <xdr:row>2</xdr:row>
      <xdr:rowOff>139974</xdr:rowOff>
    </xdr:to>
    <xdr:sp macro="" textlink="">
      <xdr:nvSpPr>
        <xdr:cNvPr id="67" name="TextBox 66">
          <a:extLst>
            <a:ext uri="{FF2B5EF4-FFF2-40B4-BE49-F238E27FC236}">
              <a16:creationId xmlns:a16="http://schemas.microsoft.com/office/drawing/2014/main" id="{30B5062B-D30D-5A03-6127-861E54C340A5}"/>
            </a:ext>
          </a:extLst>
        </xdr:cNvPr>
        <xdr:cNvSpPr txBox="1"/>
      </xdr:nvSpPr>
      <xdr:spPr>
        <a:xfrm>
          <a:off x="10679930" y="269240"/>
          <a:ext cx="1231362" cy="240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AVERAGE</a:t>
          </a:r>
          <a:r>
            <a:rPr lang="en-IN" sz="1100" baseline="0"/>
            <a:t> SALES</a:t>
          </a:r>
          <a:endParaRPr lang="en-IN" sz="1100"/>
        </a:p>
      </xdr:txBody>
    </xdr:sp>
    <xdr:clientData/>
  </xdr:twoCellAnchor>
  <xdr:twoCellAnchor>
    <xdr:from>
      <xdr:col>8</xdr:col>
      <xdr:colOff>91209</xdr:colOff>
      <xdr:row>1</xdr:row>
      <xdr:rowOff>115148</xdr:rowOff>
    </xdr:from>
    <xdr:to>
      <xdr:col>10</xdr:col>
      <xdr:colOff>83589</xdr:colOff>
      <xdr:row>2</xdr:row>
      <xdr:rowOff>160867</xdr:rowOff>
    </xdr:to>
    <xdr:sp macro="" textlink="DATA!Q6">
      <xdr:nvSpPr>
        <xdr:cNvPr id="68" name="TextBox 67">
          <a:extLst>
            <a:ext uri="{FF2B5EF4-FFF2-40B4-BE49-F238E27FC236}">
              <a16:creationId xmlns:a16="http://schemas.microsoft.com/office/drawing/2014/main" id="{14615BCC-44B3-F1FB-656F-B66CA0D46D66}"/>
            </a:ext>
          </a:extLst>
        </xdr:cNvPr>
        <xdr:cNvSpPr txBox="1"/>
      </xdr:nvSpPr>
      <xdr:spPr>
        <a:xfrm>
          <a:off x="4955694" y="299875"/>
          <a:ext cx="1208501" cy="230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4A3382-CA98-4E59-B0A4-16072EE872A8}" type="TxLink">
            <a:rPr lang="en-US" sz="1400" b="1" i="0" u="none" strike="noStrike">
              <a:solidFill>
                <a:srgbClr val="000000"/>
              </a:solidFill>
              <a:latin typeface="Calibri"/>
              <a:ea typeface="Calibri"/>
              <a:cs typeface="Calibri"/>
            </a:rPr>
            <a:pPr algn="ctr"/>
            <a:t>₹ 1,07,73,650</a:t>
          </a:fld>
          <a:endParaRPr lang="en-IN" sz="1400" b="1"/>
        </a:p>
      </xdr:txBody>
    </xdr:sp>
    <xdr:clientData/>
  </xdr:twoCellAnchor>
  <xdr:twoCellAnchor>
    <xdr:from>
      <xdr:col>11</xdr:col>
      <xdr:colOff>213360</xdr:colOff>
      <xdr:row>2</xdr:row>
      <xdr:rowOff>15240</xdr:rowOff>
    </xdr:from>
    <xdr:to>
      <xdr:col>13</xdr:col>
      <xdr:colOff>205740</xdr:colOff>
      <xdr:row>3</xdr:row>
      <xdr:rowOff>60960</xdr:rowOff>
    </xdr:to>
    <xdr:sp macro="" textlink="DATA!Q8">
      <xdr:nvSpPr>
        <xdr:cNvPr id="69" name="TextBox 68">
          <a:extLst>
            <a:ext uri="{FF2B5EF4-FFF2-40B4-BE49-F238E27FC236}">
              <a16:creationId xmlns:a16="http://schemas.microsoft.com/office/drawing/2014/main" id="{A930CCB8-EE3E-0EB4-A5A8-88727D5802EF}"/>
            </a:ext>
          </a:extLst>
        </xdr:cNvPr>
        <xdr:cNvSpPr txBox="1"/>
      </xdr:nvSpPr>
      <xdr:spPr>
        <a:xfrm>
          <a:off x="6918960" y="381000"/>
          <a:ext cx="12115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CEB2F84-ECE3-46ED-BBB0-7362F84B389A}" type="TxLink">
            <a:rPr lang="en-US" sz="1400" b="1" i="0" u="none" strike="noStrike">
              <a:solidFill>
                <a:srgbClr val="000000"/>
              </a:solidFill>
              <a:latin typeface="Calibri"/>
              <a:ea typeface="Calibri"/>
              <a:cs typeface="Calibri"/>
            </a:rPr>
            <a:pPr algn="ctr"/>
            <a:t>₹ 29,50,242</a:t>
          </a:fld>
          <a:endParaRPr lang="en-IN" sz="1400" b="1"/>
        </a:p>
      </xdr:txBody>
    </xdr:sp>
    <xdr:clientData/>
  </xdr:twoCellAnchor>
  <xdr:twoCellAnchor>
    <xdr:from>
      <xdr:col>14</xdr:col>
      <xdr:colOff>320271</xdr:colOff>
      <xdr:row>2</xdr:row>
      <xdr:rowOff>176337</xdr:rowOff>
    </xdr:from>
    <xdr:to>
      <xdr:col>16</xdr:col>
      <xdr:colOff>312651</xdr:colOff>
      <xdr:row>4</xdr:row>
      <xdr:rowOff>37330</xdr:rowOff>
    </xdr:to>
    <xdr:sp macro="" textlink="DATA!Q10">
      <xdr:nvSpPr>
        <xdr:cNvPr id="70" name="TextBox 69">
          <a:extLst>
            <a:ext uri="{FF2B5EF4-FFF2-40B4-BE49-F238E27FC236}">
              <a16:creationId xmlns:a16="http://schemas.microsoft.com/office/drawing/2014/main" id="{C440A09B-7F30-4D25-3DB2-18997C285237}"/>
            </a:ext>
          </a:extLst>
        </xdr:cNvPr>
        <xdr:cNvSpPr txBox="1"/>
      </xdr:nvSpPr>
      <xdr:spPr>
        <a:xfrm>
          <a:off x="8833119" y="545792"/>
          <a:ext cx="1208502" cy="230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8FF2A8-4762-40CE-BD6B-11C3D5CFD56B}" type="TxLink">
            <a:rPr lang="en-US" sz="1400" b="1" i="0" u="none" strike="noStrike">
              <a:solidFill>
                <a:srgbClr val="000000"/>
              </a:solidFill>
              <a:latin typeface="Calibri"/>
              <a:ea typeface="Calibri"/>
              <a:cs typeface="Calibri"/>
            </a:rPr>
            <a:pPr algn="ctr"/>
            <a:t>1138</a:t>
          </a:fld>
          <a:endParaRPr lang="en-IN" sz="1400" b="1"/>
        </a:p>
      </xdr:txBody>
    </xdr:sp>
    <xdr:clientData/>
  </xdr:twoCellAnchor>
  <xdr:twoCellAnchor>
    <xdr:from>
      <xdr:col>17</xdr:col>
      <xdr:colOff>480214</xdr:colOff>
      <xdr:row>2</xdr:row>
      <xdr:rowOff>139113</xdr:rowOff>
    </xdr:from>
    <xdr:to>
      <xdr:col>19</xdr:col>
      <xdr:colOff>472594</xdr:colOff>
      <xdr:row>4</xdr:row>
      <xdr:rowOff>106</xdr:rowOff>
    </xdr:to>
    <xdr:sp macro="" textlink="DATA!Q12">
      <xdr:nvSpPr>
        <xdr:cNvPr id="71" name="TextBox 70">
          <a:extLst>
            <a:ext uri="{FF2B5EF4-FFF2-40B4-BE49-F238E27FC236}">
              <a16:creationId xmlns:a16="http://schemas.microsoft.com/office/drawing/2014/main" id="{159C2E81-3548-B3DC-5291-F92C0BB2EE7A}"/>
            </a:ext>
          </a:extLst>
        </xdr:cNvPr>
        <xdr:cNvSpPr txBox="1"/>
      </xdr:nvSpPr>
      <xdr:spPr>
        <a:xfrm>
          <a:off x="10817244" y="508568"/>
          <a:ext cx="1208502" cy="230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4393D2-838E-4AE9-8251-C2A32A5CD0EA}" type="TxLink">
            <a:rPr lang="en-US" sz="1400" b="1" i="0" u="none" strike="noStrike">
              <a:solidFill>
                <a:srgbClr val="000000"/>
              </a:solidFill>
              <a:latin typeface="Calibri"/>
              <a:ea typeface="Calibri"/>
              <a:cs typeface="Calibri"/>
            </a:rPr>
            <a:pPr/>
            <a:t> ₹ 97,060 </a:t>
          </a:fld>
          <a:endParaRPr lang="en-IN" sz="1400" b="1"/>
        </a:p>
      </xdr:txBody>
    </xdr:sp>
    <xdr:clientData/>
  </xdr:twoCellAnchor>
  <xdr:twoCellAnchor editAs="oneCell">
    <xdr:from>
      <xdr:col>0</xdr:col>
      <xdr:colOff>114300</xdr:colOff>
      <xdr:row>2</xdr:row>
      <xdr:rowOff>38100</xdr:rowOff>
    </xdr:from>
    <xdr:to>
      <xdr:col>1</xdr:col>
      <xdr:colOff>60960</xdr:colOff>
      <xdr:row>5</xdr:row>
      <xdr:rowOff>45720</xdr:rowOff>
    </xdr:to>
    <xdr:pic>
      <xdr:nvPicPr>
        <xdr:cNvPr id="73" name="Graphic 72" descr="Bar chart with solid fill">
          <a:extLst>
            <a:ext uri="{FF2B5EF4-FFF2-40B4-BE49-F238E27FC236}">
              <a16:creationId xmlns:a16="http://schemas.microsoft.com/office/drawing/2014/main" id="{1C2A0345-32F6-AAEC-B926-34D162B7BAF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4300" y="403860"/>
          <a:ext cx="556260" cy="556260"/>
        </a:xfrm>
        <a:prstGeom prst="rect">
          <a:avLst/>
        </a:prstGeom>
      </xdr:spPr>
    </xdr:pic>
    <xdr:clientData/>
  </xdr:twoCellAnchor>
  <xdr:twoCellAnchor editAs="oneCell">
    <xdr:from>
      <xdr:col>10</xdr:col>
      <xdr:colOff>220980</xdr:colOff>
      <xdr:row>2</xdr:row>
      <xdr:rowOff>0</xdr:rowOff>
    </xdr:from>
    <xdr:to>
      <xdr:col>11</xdr:col>
      <xdr:colOff>99060</xdr:colOff>
      <xdr:row>4</xdr:row>
      <xdr:rowOff>121920</xdr:rowOff>
    </xdr:to>
    <xdr:pic>
      <xdr:nvPicPr>
        <xdr:cNvPr id="75" name="Graphic 74" descr="Bar graph with upward trend with solid fill">
          <a:extLst>
            <a:ext uri="{FF2B5EF4-FFF2-40B4-BE49-F238E27FC236}">
              <a16:creationId xmlns:a16="http://schemas.microsoft.com/office/drawing/2014/main" id="{80A8F5F7-4F3E-2BB8-EBE0-DC0C77DF919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316980" y="365760"/>
          <a:ext cx="487680" cy="487680"/>
        </a:xfrm>
        <a:prstGeom prst="rect">
          <a:avLst/>
        </a:prstGeom>
      </xdr:spPr>
    </xdr:pic>
    <xdr:clientData/>
  </xdr:twoCellAnchor>
  <xdr:twoCellAnchor editAs="oneCell">
    <xdr:from>
      <xdr:col>7</xdr:col>
      <xdr:colOff>91440</xdr:colOff>
      <xdr:row>1</xdr:row>
      <xdr:rowOff>99060</xdr:rowOff>
    </xdr:from>
    <xdr:to>
      <xdr:col>7</xdr:col>
      <xdr:colOff>586740</xdr:colOff>
      <xdr:row>4</xdr:row>
      <xdr:rowOff>45720</xdr:rowOff>
    </xdr:to>
    <xdr:pic>
      <xdr:nvPicPr>
        <xdr:cNvPr id="77" name="Graphic 76" descr="Bank with solid fill">
          <a:extLst>
            <a:ext uri="{FF2B5EF4-FFF2-40B4-BE49-F238E27FC236}">
              <a16:creationId xmlns:a16="http://schemas.microsoft.com/office/drawing/2014/main" id="{54789573-BEBF-CF36-864C-AC93A38462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358640" y="281940"/>
          <a:ext cx="495300" cy="495300"/>
        </a:xfrm>
        <a:prstGeom prst="rect">
          <a:avLst/>
        </a:prstGeom>
      </xdr:spPr>
    </xdr:pic>
    <xdr:clientData/>
  </xdr:twoCellAnchor>
  <xdr:twoCellAnchor editAs="oneCell">
    <xdr:from>
      <xdr:col>13</xdr:col>
      <xdr:colOff>335280</xdr:colOff>
      <xdr:row>1</xdr:row>
      <xdr:rowOff>160020</xdr:rowOff>
    </xdr:from>
    <xdr:to>
      <xdr:col>14</xdr:col>
      <xdr:colOff>243840</xdr:colOff>
      <xdr:row>4</xdr:row>
      <xdr:rowOff>129540</xdr:rowOff>
    </xdr:to>
    <xdr:pic>
      <xdr:nvPicPr>
        <xdr:cNvPr id="79" name="Graphic 78" descr="Database with solid fill">
          <a:extLst>
            <a:ext uri="{FF2B5EF4-FFF2-40B4-BE49-F238E27FC236}">
              <a16:creationId xmlns:a16="http://schemas.microsoft.com/office/drawing/2014/main" id="{5F00E5FC-CAD2-8ADF-5395-C20C494B8C5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260080" y="342900"/>
          <a:ext cx="518160" cy="518160"/>
        </a:xfrm>
        <a:prstGeom prst="rect">
          <a:avLst/>
        </a:prstGeom>
      </xdr:spPr>
    </xdr:pic>
    <xdr:clientData/>
  </xdr:twoCellAnchor>
  <xdr:twoCellAnchor editAs="oneCell">
    <xdr:from>
      <xdr:col>16</xdr:col>
      <xdr:colOff>487757</xdr:colOff>
      <xdr:row>2</xdr:row>
      <xdr:rowOff>29709</xdr:rowOff>
    </xdr:from>
    <xdr:to>
      <xdr:col>17</xdr:col>
      <xdr:colOff>259517</xdr:colOff>
      <xdr:row>4</xdr:row>
      <xdr:rowOff>46182</xdr:rowOff>
    </xdr:to>
    <xdr:pic>
      <xdr:nvPicPr>
        <xdr:cNvPr id="81" name="Graphic 80" descr="Money with solid fill">
          <a:extLst>
            <a:ext uri="{FF2B5EF4-FFF2-40B4-BE49-F238E27FC236}">
              <a16:creationId xmlns:a16="http://schemas.microsoft.com/office/drawing/2014/main" id="{671D8C1D-0A14-EF1A-457D-B8193D85496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216727" y="399164"/>
          <a:ext cx="379820" cy="385927"/>
        </a:xfrm>
        <a:prstGeom prst="rect">
          <a:avLst/>
        </a:prstGeom>
      </xdr:spPr>
    </xdr:pic>
    <xdr:clientData/>
  </xdr:twoCellAnchor>
  <xdr:twoCellAnchor>
    <xdr:from>
      <xdr:col>1</xdr:col>
      <xdr:colOff>190500</xdr:colOff>
      <xdr:row>18</xdr:row>
      <xdr:rowOff>53340</xdr:rowOff>
    </xdr:from>
    <xdr:to>
      <xdr:col>5</xdr:col>
      <xdr:colOff>259080</xdr:colOff>
      <xdr:row>19</xdr:row>
      <xdr:rowOff>160020</xdr:rowOff>
    </xdr:to>
    <xdr:sp macro="" textlink="INSIGHTS!B11">
      <xdr:nvSpPr>
        <xdr:cNvPr id="2" name="TextBox 1">
          <a:extLst>
            <a:ext uri="{FF2B5EF4-FFF2-40B4-BE49-F238E27FC236}">
              <a16:creationId xmlns:a16="http://schemas.microsoft.com/office/drawing/2014/main" id="{FDEE227B-5D20-17D4-60B0-2EDB4E0A8623}"/>
            </a:ext>
          </a:extLst>
        </xdr:cNvPr>
        <xdr:cNvSpPr txBox="1"/>
      </xdr:nvSpPr>
      <xdr:spPr>
        <a:xfrm>
          <a:off x="800100" y="3345180"/>
          <a:ext cx="2506980" cy="28956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fld id="{04675F59-B64D-4FFB-87EC-32CF25451319}" type="TxLink">
            <a:rPr lang="en-US" sz="1100" b="0" i="0" u="none" strike="noStrike">
              <a:ln>
                <a:noFill/>
              </a:ln>
              <a:solidFill>
                <a:srgbClr val="000000"/>
              </a:solidFill>
              <a:latin typeface="Calibri"/>
              <a:ea typeface="Calibri"/>
              <a:cs typeface="Calibri"/>
            </a:rPr>
            <a:pPr/>
            <a:t>Top Salesperson: Sneha (₹3966113)</a:t>
          </a:fld>
          <a:endParaRPr lang="en-IN" sz="1100">
            <a:ln>
              <a:noFill/>
            </a:ln>
            <a:noFill/>
          </a:endParaRPr>
        </a:p>
      </xdr:txBody>
    </xdr:sp>
    <xdr:clientData/>
  </xdr:twoCellAnchor>
  <xdr:twoCellAnchor editAs="oneCell">
    <xdr:from>
      <xdr:col>0</xdr:col>
      <xdr:colOff>445669</xdr:colOff>
      <xdr:row>18</xdr:row>
      <xdr:rowOff>18492</xdr:rowOff>
    </xdr:from>
    <xdr:to>
      <xdr:col>1</xdr:col>
      <xdr:colOff>185525</xdr:colOff>
      <xdr:row>20</xdr:row>
      <xdr:rowOff>802</xdr:rowOff>
    </xdr:to>
    <xdr:pic>
      <xdr:nvPicPr>
        <xdr:cNvPr id="9" name="Graphic 8" descr="User with solid fill">
          <a:extLst>
            <a:ext uri="{FF2B5EF4-FFF2-40B4-BE49-F238E27FC236}">
              <a16:creationId xmlns:a16="http://schemas.microsoft.com/office/drawing/2014/main" id="{DF537D84-EADF-EE00-8A71-AFA14D3DDAB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45669" y="3310332"/>
          <a:ext cx="349456" cy="348070"/>
        </a:xfrm>
        <a:prstGeom prst="rect">
          <a:avLst/>
        </a:prstGeom>
      </xdr:spPr>
    </xdr:pic>
    <xdr:clientData/>
  </xdr:twoCellAnchor>
  <xdr:twoCellAnchor>
    <xdr:from>
      <xdr:col>12</xdr:col>
      <xdr:colOff>462080</xdr:colOff>
      <xdr:row>37</xdr:row>
      <xdr:rowOff>30788</xdr:rowOff>
    </xdr:from>
    <xdr:to>
      <xdr:col>16</xdr:col>
      <xdr:colOff>161636</xdr:colOff>
      <xdr:row>38</xdr:row>
      <xdr:rowOff>123153</xdr:rowOff>
    </xdr:to>
    <xdr:sp macro="" textlink="INSIGHTS!B23">
      <xdr:nvSpPr>
        <xdr:cNvPr id="14" name="TextBox 13">
          <a:extLst>
            <a:ext uri="{FF2B5EF4-FFF2-40B4-BE49-F238E27FC236}">
              <a16:creationId xmlns:a16="http://schemas.microsoft.com/office/drawing/2014/main" id="{82D6D148-69E1-45E8-83D9-3C77FEA1464C}"/>
            </a:ext>
          </a:extLst>
        </xdr:cNvPr>
        <xdr:cNvSpPr txBox="1"/>
      </xdr:nvSpPr>
      <xdr:spPr>
        <a:xfrm>
          <a:off x="7758807" y="6865697"/>
          <a:ext cx="2131799" cy="277092"/>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fld id="{4B85790F-5CC8-4770-8CCF-35D51EE8BAD5}" type="TxLink">
            <a:rPr lang="en-US" sz="1100" b="0" i="0" u="none" strike="noStrike">
              <a:ln>
                <a:noFill/>
              </a:ln>
              <a:solidFill>
                <a:srgbClr val="000000"/>
              </a:solidFill>
              <a:latin typeface="Calibri"/>
              <a:ea typeface="Calibri"/>
              <a:cs typeface="Calibri"/>
            </a:rPr>
            <a:pPr/>
            <a:t>Top Product: Watch (₹2862702)</a:t>
          </a:fld>
          <a:endParaRPr lang="en-US" sz="1100" b="0" i="0" u="none" strike="noStrike">
            <a:ln>
              <a:noFill/>
            </a:ln>
            <a:solidFill>
              <a:srgbClr val="000000"/>
            </a:solidFill>
            <a:latin typeface="Calibri"/>
            <a:ea typeface="Calibri"/>
            <a:cs typeface="Calibri"/>
          </a:endParaRPr>
        </a:p>
      </xdr:txBody>
    </xdr:sp>
    <xdr:clientData/>
  </xdr:twoCellAnchor>
  <xdr:twoCellAnchor>
    <xdr:from>
      <xdr:col>3</xdr:col>
      <xdr:colOff>134657</xdr:colOff>
      <xdr:row>37</xdr:row>
      <xdr:rowOff>80180</xdr:rowOff>
    </xdr:from>
    <xdr:to>
      <xdr:col>8</xdr:col>
      <xdr:colOff>169248</xdr:colOff>
      <xdr:row>38</xdr:row>
      <xdr:rowOff>155584</xdr:rowOff>
    </xdr:to>
    <xdr:sp macro="" textlink="INSIGHTS!F12">
      <xdr:nvSpPr>
        <xdr:cNvPr id="15" name="TextBox 14">
          <a:extLst>
            <a:ext uri="{FF2B5EF4-FFF2-40B4-BE49-F238E27FC236}">
              <a16:creationId xmlns:a16="http://schemas.microsoft.com/office/drawing/2014/main" id="{DB573B20-4DBA-4BDE-BAF2-FC67119C4C0A}"/>
            </a:ext>
          </a:extLst>
        </xdr:cNvPr>
        <xdr:cNvSpPr txBox="1"/>
      </xdr:nvSpPr>
      <xdr:spPr>
        <a:xfrm>
          <a:off x="1963457" y="6846740"/>
          <a:ext cx="3082591" cy="258284"/>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fld id="{E965EA3B-2C07-48BF-8DD9-1CBAA173167C}" type="TxLink">
            <a:rPr lang="en-US" sz="1100" b="0" i="0" u="none" strike="noStrike">
              <a:ln>
                <a:noFill/>
              </a:ln>
              <a:solidFill>
                <a:srgbClr val="000000"/>
              </a:solidFill>
              <a:latin typeface="Calibri"/>
              <a:ea typeface="Calibri"/>
              <a:cs typeface="Calibri"/>
            </a:rPr>
            <a:pPr/>
            <a:t>HIGHEST SALES MONTH : May (₹3700495)</a:t>
          </a:fld>
          <a:endParaRPr lang="en-US" sz="1100" b="0" i="0" u="none" strike="noStrike">
            <a:ln>
              <a:noFill/>
            </a:ln>
            <a:solidFill>
              <a:srgbClr val="000000"/>
            </a:solidFill>
            <a:latin typeface="Calibri"/>
            <a:ea typeface="Calibri"/>
            <a:cs typeface="Calibri"/>
          </a:endParaRPr>
        </a:p>
      </xdr:txBody>
    </xdr:sp>
    <xdr:clientData/>
  </xdr:twoCellAnchor>
  <xdr:twoCellAnchor>
    <xdr:from>
      <xdr:col>11</xdr:col>
      <xdr:colOff>211696</xdr:colOff>
      <xdr:row>3</xdr:row>
      <xdr:rowOff>152400</xdr:rowOff>
    </xdr:from>
    <xdr:to>
      <xdr:col>13</xdr:col>
      <xdr:colOff>86593</xdr:colOff>
      <xdr:row>5</xdr:row>
      <xdr:rowOff>48081</xdr:rowOff>
    </xdr:to>
    <xdr:sp macro="" textlink="DATA!T10">
      <xdr:nvSpPr>
        <xdr:cNvPr id="16" name="TextBox 15">
          <a:extLst>
            <a:ext uri="{FF2B5EF4-FFF2-40B4-BE49-F238E27FC236}">
              <a16:creationId xmlns:a16="http://schemas.microsoft.com/office/drawing/2014/main" id="{3A9A49FB-F3A4-63E1-7F34-7938EB91643D}"/>
            </a:ext>
          </a:extLst>
        </xdr:cNvPr>
        <xdr:cNvSpPr txBox="1"/>
      </xdr:nvSpPr>
      <xdr:spPr>
        <a:xfrm>
          <a:off x="6917296" y="704193"/>
          <a:ext cx="1094097" cy="263543"/>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fld id="{C7CBAB03-2207-46BA-B959-B7838AA52768}" type="TxLink">
            <a:rPr lang="en-US" sz="1100" b="0" i="0" u="none" strike="noStrike">
              <a:solidFill>
                <a:srgbClr val="000000"/>
              </a:solidFill>
              <a:latin typeface="Calibri"/>
              <a:ea typeface="Calibri"/>
              <a:cs typeface="Calibri"/>
            </a:rPr>
            <a:pPr/>
            <a:t>Margin: 27% ↑</a:t>
          </a:fld>
          <a:endParaRPr lang="en-US" sz="1100"/>
        </a:p>
      </xdr:txBody>
    </xdr:sp>
    <xdr:clientData/>
  </xdr:twoCellAnchor>
  <xdr:twoCellAnchor>
    <xdr:from>
      <xdr:col>7</xdr:col>
      <xdr:colOff>213361</xdr:colOff>
      <xdr:row>6</xdr:row>
      <xdr:rowOff>60960</xdr:rowOff>
    </xdr:from>
    <xdr:to>
      <xdr:col>19</xdr:col>
      <xdr:colOff>121921</xdr:colOff>
      <xdr:row>7</xdr:row>
      <xdr:rowOff>160020</xdr:rowOff>
    </xdr:to>
    <xdr:sp macro="" textlink="INSIGHTS!F18">
      <xdr:nvSpPr>
        <xdr:cNvPr id="19" name="TextBox 18">
          <a:extLst>
            <a:ext uri="{FF2B5EF4-FFF2-40B4-BE49-F238E27FC236}">
              <a16:creationId xmlns:a16="http://schemas.microsoft.com/office/drawing/2014/main" id="{1784FD35-C6E8-4A98-9ADC-CBD674434648}"/>
            </a:ext>
          </a:extLst>
        </xdr:cNvPr>
        <xdr:cNvSpPr txBox="1"/>
      </xdr:nvSpPr>
      <xdr:spPr>
        <a:xfrm>
          <a:off x="4480561" y="1158240"/>
          <a:ext cx="7223760" cy="281940"/>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wrap="square" rtlCol="0" anchor="t"/>
        <a:lstStyle/>
        <a:p>
          <a:pPr algn="ctr"/>
          <a:fld id="{8AB7B2D8-8459-4791-A753-491BCF2951A5}" type="TxLink">
            <a:rPr lang="en-US" sz="1200" b="1" i="0" u="none" strike="noStrike">
              <a:solidFill>
                <a:schemeClr val="bg1"/>
              </a:solidFill>
              <a:latin typeface="Calibri"/>
              <a:ea typeface="Calibri"/>
              <a:cs typeface="Calibri"/>
            </a:rPr>
            <a:pPr algn="ctr"/>
            <a:t> Sales peaked in May, driven by Watch and led by Sneha</a:t>
          </a:fld>
          <a:endParaRPr lang="en-IN" sz="1200" b="1">
            <a:solidFill>
              <a:schemeClr val="bg1"/>
            </a:solidFill>
          </a:endParaRPr>
        </a:p>
      </xdr:txBody>
    </xdr:sp>
    <xdr:clientData/>
  </xdr:twoCellAnchor>
  <xdr:twoCellAnchor>
    <xdr:from>
      <xdr:col>8</xdr:col>
      <xdr:colOff>43672</xdr:colOff>
      <xdr:row>3</xdr:row>
      <xdr:rowOff>60036</xdr:rowOff>
    </xdr:from>
    <xdr:to>
      <xdr:col>10</xdr:col>
      <xdr:colOff>46182</xdr:colOff>
      <xdr:row>5</xdr:row>
      <xdr:rowOff>61575</xdr:rowOff>
    </xdr:to>
    <xdr:sp macro="" textlink="INSIGHTS!F20">
      <xdr:nvSpPr>
        <xdr:cNvPr id="20" name="TextBox 19">
          <a:extLst>
            <a:ext uri="{FF2B5EF4-FFF2-40B4-BE49-F238E27FC236}">
              <a16:creationId xmlns:a16="http://schemas.microsoft.com/office/drawing/2014/main" id="{F2445E10-37EA-0F1C-2588-D386D695A8D0}"/>
            </a:ext>
          </a:extLst>
        </xdr:cNvPr>
        <xdr:cNvSpPr txBox="1"/>
      </xdr:nvSpPr>
      <xdr:spPr>
        <a:xfrm>
          <a:off x="4908157" y="614218"/>
          <a:ext cx="1218631" cy="370993"/>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fld id="{58D717EC-3EFB-4C97-BB8E-BDC9940EA58F}" type="TxLink">
            <a:rPr lang="en-US" sz="900" b="0" i="0" u="none" strike="noStrike">
              <a:solidFill>
                <a:srgbClr val="000000"/>
              </a:solidFill>
              <a:latin typeface="Calibri"/>
              <a:ea typeface="Calibri"/>
              <a:cs typeface="Calibri"/>
            </a:rPr>
            <a:pPr/>
            <a:t>↓ Declined by 87% in Jun</a:t>
          </a:fld>
          <a:endParaRPr lang="en-US" sz="900" b="0" i="0" u="none" strike="noStrike">
            <a:solidFill>
              <a:srgbClr val="000000"/>
            </a:solidFill>
            <a:latin typeface="Calibri"/>
            <a:ea typeface="Calibri"/>
            <a:cs typeface="Calibri"/>
          </a:endParaRPr>
        </a:p>
      </xdr:txBody>
    </xdr:sp>
    <xdr:clientData/>
  </xdr:twoCellAnchor>
  <xdr:twoCellAnchor editAs="oneCell">
    <xdr:from>
      <xdr:col>2</xdr:col>
      <xdr:colOff>338669</xdr:colOff>
      <xdr:row>37</xdr:row>
      <xdr:rowOff>12095</xdr:rowOff>
    </xdr:from>
    <xdr:to>
      <xdr:col>3</xdr:col>
      <xdr:colOff>97731</xdr:colOff>
      <xdr:row>39</xdr:row>
      <xdr:rowOff>12095</xdr:rowOff>
    </xdr:to>
    <xdr:pic>
      <xdr:nvPicPr>
        <xdr:cNvPr id="26" name="Graphic 25" descr="Daily calendar with solid fill">
          <a:extLst>
            <a:ext uri="{FF2B5EF4-FFF2-40B4-BE49-F238E27FC236}">
              <a16:creationId xmlns:a16="http://schemas.microsoft.com/office/drawing/2014/main" id="{1A61B9A8-AE3C-4BBB-0460-3CE0FE75718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548193" y="6724952"/>
          <a:ext cx="363824" cy="362857"/>
        </a:xfrm>
        <a:prstGeom prst="rect">
          <a:avLst/>
        </a:prstGeom>
      </xdr:spPr>
    </xdr:pic>
    <xdr:clientData/>
  </xdr:twoCellAnchor>
  <xdr:twoCellAnchor editAs="oneCell">
    <xdr:from>
      <xdr:col>12</xdr:col>
      <xdr:colOff>97862</xdr:colOff>
      <xdr:row>36</xdr:row>
      <xdr:rowOff>182528</xdr:rowOff>
    </xdr:from>
    <xdr:to>
      <xdr:col>12</xdr:col>
      <xdr:colOff>424433</xdr:colOff>
      <xdr:row>38</xdr:row>
      <xdr:rowOff>146243</xdr:rowOff>
    </xdr:to>
    <xdr:pic>
      <xdr:nvPicPr>
        <xdr:cNvPr id="29" name="Graphic 28" descr="Briefcase with solid fill">
          <a:extLst>
            <a:ext uri="{FF2B5EF4-FFF2-40B4-BE49-F238E27FC236}">
              <a16:creationId xmlns:a16="http://schemas.microsoft.com/office/drawing/2014/main" id="{33E3D51E-9F15-AD2D-7EA4-992A277A312D}"/>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7394589" y="6832710"/>
          <a:ext cx="326571" cy="3331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198119</xdr:colOff>
      <xdr:row>0</xdr:row>
      <xdr:rowOff>137160</xdr:rowOff>
    </xdr:from>
    <xdr:to>
      <xdr:col>11</xdr:col>
      <xdr:colOff>270933</xdr:colOff>
      <xdr:row>18</xdr:row>
      <xdr:rowOff>91440</xdr:rowOff>
    </xdr:to>
    <xdr:graphicFrame macro="">
      <xdr:nvGraphicFramePr>
        <xdr:cNvPr id="2" name="Chart 1">
          <a:extLst>
            <a:ext uri="{FF2B5EF4-FFF2-40B4-BE49-F238E27FC236}">
              <a16:creationId xmlns:a16="http://schemas.microsoft.com/office/drawing/2014/main" id="{3B76CEC9-0A2A-4467-A8C2-0E2C566E0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224118</xdr:colOff>
      <xdr:row>19</xdr:row>
      <xdr:rowOff>152400</xdr:rowOff>
    </xdr:from>
    <xdr:to>
      <xdr:col>8</xdr:col>
      <xdr:colOff>493059</xdr:colOff>
      <xdr:row>38</xdr:row>
      <xdr:rowOff>0</xdr:rowOff>
    </xdr:to>
    <xdr:graphicFrame macro="">
      <xdr:nvGraphicFramePr>
        <xdr:cNvPr id="4" name="Chart 3">
          <a:extLst>
            <a:ext uri="{FF2B5EF4-FFF2-40B4-BE49-F238E27FC236}">
              <a16:creationId xmlns:a16="http://schemas.microsoft.com/office/drawing/2014/main" id="{F29A75E7-D53A-48A6-924C-23287072E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304800</xdr:colOff>
      <xdr:row>2</xdr:row>
      <xdr:rowOff>84667</xdr:rowOff>
    </xdr:from>
    <xdr:to>
      <xdr:col>20</xdr:col>
      <xdr:colOff>606555</xdr:colOff>
      <xdr:row>19</xdr:row>
      <xdr:rowOff>50799</xdr:rowOff>
    </xdr:to>
    <xdr:graphicFrame macro="">
      <xdr:nvGraphicFramePr>
        <xdr:cNvPr id="5" name="Chart 4">
          <a:extLst>
            <a:ext uri="{FF2B5EF4-FFF2-40B4-BE49-F238E27FC236}">
              <a16:creationId xmlns:a16="http://schemas.microsoft.com/office/drawing/2014/main" id="{56EE7EA1-65D7-4E04-91F7-BDF484889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116540</xdr:colOff>
      <xdr:row>19</xdr:row>
      <xdr:rowOff>125507</xdr:rowOff>
    </xdr:from>
    <xdr:to>
      <xdr:col>17</xdr:col>
      <xdr:colOff>502023</xdr:colOff>
      <xdr:row>37</xdr:row>
      <xdr:rowOff>161365</xdr:rowOff>
    </xdr:to>
    <xdr:graphicFrame macro="">
      <xdr:nvGraphicFramePr>
        <xdr:cNvPr id="6" name="Chart 5">
          <a:extLst>
            <a:ext uri="{FF2B5EF4-FFF2-40B4-BE49-F238E27FC236}">
              <a16:creationId xmlns:a16="http://schemas.microsoft.com/office/drawing/2014/main" id="{94E83686-4873-4F6A-867F-47EFD0A3B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475129</xdr:colOff>
      <xdr:row>40</xdr:row>
      <xdr:rowOff>0</xdr:rowOff>
    </xdr:from>
    <xdr:to>
      <xdr:col>11</xdr:col>
      <xdr:colOff>468471</xdr:colOff>
      <xdr:row>60</xdr:row>
      <xdr:rowOff>0</xdr:rowOff>
    </xdr:to>
    <xdr:graphicFrame macro="">
      <xdr:nvGraphicFramePr>
        <xdr:cNvPr id="7" name="Chart 6">
          <a:extLst>
            <a:ext uri="{FF2B5EF4-FFF2-40B4-BE49-F238E27FC236}">
              <a16:creationId xmlns:a16="http://schemas.microsoft.com/office/drawing/2014/main" id="{5C46AEFF-A487-4042-A2CA-E51107D33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539262</xdr:colOff>
      <xdr:row>50</xdr:row>
      <xdr:rowOff>122976</xdr:rowOff>
    </xdr:from>
    <xdr:to>
      <xdr:col>24</xdr:col>
      <xdr:colOff>228751</xdr:colOff>
      <xdr:row>69</xdr:row>
      <xdr:rowOff>24396</xdr:rowOff>
    </xdr:to>
    <xdr:graphicFrame macro="">
      <xdr:nvGraphicFramePr>
        <xdr:cNvPr id="8" name="Chart 7">
          <a:extLst>
            <a:ext uri="{FF2B5EF4-FFF2-40B4-BE49-F238E27FC236}">
              <a16:creationId xmlns:a16="http://schemas.microsoft.com/office/drawing/2014/main" id="{37CF0DEA-70A7-43CA-B5DC-0EE08CD77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115017</xdr:colOff>
      <xdr:row>9</xdr:row>
      <xdr:rowOff>100641</xdr:rowOff>
    </xdr:from>
    <xdr:to>
      <xdr:col>36</xdr:col>
      <xdr:colOff>429846</xdr:colOff>
      <xdr:row>44</xdr:row>
      <xdr:rowOff>49160</xdr:rowOff>
    </xdr:to>
    <xdr:graphicFrame macro="">
      <xdr:nvGraphicFramePr>
        <xdr:cNvPr id="3" name="Chart 2">
          <a:extLst>
            <a:ext uri="{FF2B5EF4-FFF2-40B4-BE49-F238E27FC236}">
              <a16:creationId xmlns:a16="http://schemas.microsoft.com/office/drawing/2014/main" id="{BD068A35-002B-4E04-A281-D0F49571A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300421</xdr:colOff>
      <xdr:row>14</xdr:row>
      <xdr:rowOff>136844</xdr:rowOff>
    </xdr:from>
    <xdr:to>
      <xdr:col>4</xdr:col>
      <xdr:colOff>1037921</xdr:colOff>
      <xdr:row>28</xdr:row>
      <xdr:rowOff>90560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DDFA3E43-B332-0020-8FE8-4EB9770EAE8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072791" y="2639214"/>
              <a:ext cx="1838167" cy="2456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623939</xdr:colOff>
      <xdr:row>2</xdr:row>
      <xdr:rowOff>168872</xdr:rowOff>
    </xdr:from>
    <xdr:to>
      <xdr:col>13</xdr:col>
      <xdr:colOff>16409</xdr:colOff>
      <xdr:row>16</xdr:row>
      <xdr:rowOff>117379</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A6C4AC80-EBFE-7229-F231-3F28BD913049}"/>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3314532" y="526353"/>
              <a:ext cx="1838396" cy="2450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283219</xdr:colOff>
      <xdr:row>1</xdr:row>
      <xdr:rowOff>51158</xdr:rowOff>
    </xdr:from>
    <xdr:to>
      <xdr:col>10</xdr:col>
      <xdr:colOff>1096360</xdr:colOff>
      <xdr:row>5</xdr:row>
      <xdr:rowOff>65853</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AD4DEF0-52C4-77CD-CCB6-242F759F5C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49886" y="229899"/>
              <a:ext cx="3644770" cy="729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279692</xdr:colOff>
      <xdr:row>7</xdr:row>
      <xdr:rowOff>141111</xdr:rowOff>
    </xdr:from>
    <xdr:to>
      <xdr:col>6</xdr:col>
      <xdr:colOff>141256</xdr:colOff>
      <xdr:row>11</xdr:row>
      <xdr:rowOff>111769</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D4E8B399-ECB3-FDCB-A859-86EB4C37938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052062" y="1392296"/>
              <a:ext cx="3163564" cy="685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226253</xdr:colOff>
      <xdr:row>18</xdr:row>
      <xdr:rowOff>86572</xdr:rowOff>
    </xdr:from>
    <xdr:to>
      <xdr:col>11</xdr:col>
      <xdr:colOff>494754</xdr:colOff>
      <xdr:row>22</xdr:row>
      <xdr:rowOff>103483</xdr:rowOff>
    </xdr:to>
    <mc:AlternateContent xmlns:mc="http://schemas.openxmlformats.org/markup-compatibility/2006" xmlns:a14="http://schemas.microsoft.com/office/drawing/2010/main">
      <mc:Choice Requires="a14">
        <xdr:graphicFrame macro="">
          <xdr:nvGraphicFramePr>
            <xdr:cNvPr id="6" name="Payment Mode">
              <a:extLst>
                <a:ext uri="{FF2B5EF4-FFF2-40B4-BE49-F238E27FC236}">
                  <a16:creationId xmlns:a16="http://schemas.microsoft.com/office/drawing/2014/main" id="{A10B03DA-485E-10A3-FF9A-5B076988BFE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0038179" y="3303905"/>
              <a:ext cx="3100130" cy="731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167123</xdr:colOff>
      <xdr:row>23</xdr:row>
      <xdr:rowOff>40086</xdr:rowOff>
    </xdr:from>
    <xdr:to>
      <xdr:col>2</xdr:col>
      <xdr:colOff>925218</xdr:colOff>
      <xdr:row>27</xdr:row>
      <xdr:rowOff>5187</xdr:rowOff>
    </xdr:to>
    <mc:AlternateContent xmlns:mc="http://schemas.openxmlformats.org/markup-compatibility/2006" xmlns:a14="http://schemas.microsoft.com/office/drawing/2010/main">
      <mc:Choice Requires="a14">
        <xdr:graphicFrame macro="">
          <xdr:nvGraphicFramePr>
            <xdr:cNvPr id="8" name="Months ">
              <a:extLst>
                <a:ext uri="{FF2B5EF4-FFF2-40B4-BE49-F238E27FC236}">
                  <a16:creationId xmlns:a16="http://schemas.microsoft.com/office/drawing/2014/main" id="{47069576-913E-35FD-0D1A-A072BB176F9C}"/>
                </a:ext>
              </a:extLst>
            </xdr:cNvPr>
            <xdr:cNvGraphicFramePr/>
          </xdr:nvGraphicFramePr>
          <xdr:xfrm>
            <a:off x="0" y="0"/>
            <a:ext cx="0" cy="0"/>
          </xdr:xfrm>
          <a:graphic>
            <a:graphicData uri="http://schemas.microsoft.com/office/drawing/2010/slicer">
              <sle:slicer xmlns:sle="http://schemas.microsoft.com/office/drawing/2010/slicer" name="Months "/>
            </a:graphicData>
          </a:graphic>
        </xdr:graphicFrame>
      </mc:Choice>
      <mc:Fallback xmlns="">
        <xdr:sp macro="" textlink="">
          <xdr:nvSpPr>
            <xdr:cNvPr id="0" name=""/>
            <xdr:cNvSpPr>
              <a:spLocks noTextEdit="1"/>
            </xdr:cNvSpPr>
          </xdr:nvSpPr>
          <xdr:spPr>
            <a:xfrm>
              <a:off x="167123" y="4151123"/>
              <a:ext cx="3138169" cy="680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vyaaSuresh" refreshedDate="46123.562494212965" createdVersion="8" refreshedVersion="8" minRefreshableVersion="3" recordCount="100" xr:uid="{45F182CA-BD4B-43F8-A3F0-20B84D644DEE}">
  <cacheSource type="worksheet">
    <worksheetSource name="Table1"/>
  </cacheSource>
  <cacheFields count="16">
    <cacheField name="Date" numFmtId="14">
      <sharedItems containsSemiMixedTypes="0" containsNonDate="0" containsDate="1" containsString="0" minDate="2026-01-05T00:00:00" maxDate="2026-07-01T00:00:00" count="78">
        <d v="2026-04-16T00:00:00"/>
        <d v="2026-02-10T00:00:00"/>
        <d v="2026-05-28T00:00:00"/>
        <d v="2026-01-20T00:00:00"/>
        <d v="2026-05-20T00:00:00"/>
        <d v="2026-01-13T00:00:00"/>
        <d v="2026-01-21T00:00:00"/>
        <d v="2026-03-18T00:00:00"/>
        <d v="2026-06-03T00:00:00"/>
        <d v="2026-06-21T00:00:00"/>
        <d v="2026-04-19T00:00:00"/>
        <d v="2026-06-18T00:00:00"/>
        <d v="2026-03-09T00:00:00"/>
        <d v="2026-05-04T00:00:00"/>
        <d v="2026-04-17T00:00:00"/>
        <d v="2026-06-14T00:00:00"/>
        <d v="2026-05-30T00:00:00"/>
        <d v="2026-03-06T00:00:00"/>
        <d v="2026-02-15T00:00:00"/>
        <d v="2026-02-07T00:00:00"/>
        <d v="2026-05-11T00:00:00"/>
        <d v="2026-03-27T00:00:00"/>
        <d v="2026-04-11T00:00:00"/>
        <d v="2026-01-16T00:00:00"/>
        <d v="2026-05-29T00:00:00"/>
        <d v="2026-05-01T00:00:00"/>
        <d v="2026-04-09T00:00:00"/>
        <d v="2026-03-20T00:00:00"/>
        <d v="2026-04-20T00:00:00"/>
        <d v="2026-03-03T00:00:00"/>
        <d v="2026-03-14T00:00:00"/>
        <d v="2026-03-02T00:00:00"/>
        <d v="2026-01-18T00:00:00"/>
        <d v="2026-06-30T00:00:00"/>
        <d v="2026-02-09T00:00:00"/>
        <d v="2026-03-30T00:00:00"/>
        <d v="2026-05-06T00:00:00"/>
        <d v="2026-01-17T00:00:00"/>
        <d v="2026-05-12T00:00:00"/>
        <d v="2026-01-05T00:00:00"/>
        <d v="2026-01-29T00:00:00"/>
        <d v="2026-03-21T00:00:00"/>
        <d v="2026-02-13T00:00:00"/>
        <d v="2026-06-23T00:00:00"/>
        <d v="2026-05-25T00:00:00"/>
        <d v="2026-06-02T00:00:00"/>
        <d v="2026-03-05T00:00:00"/>
        <d v="2026-02-20T00:00:00"/>
        <d v="2026-04-28T00:00:00"/>
        <d v="2026-03-12T00:00:00"/>
        <d v="2026-06-06T00:00:00"/>
        <d v="2026-04-29T00:00:00"/>
        <d v="2026-01-11T00:00:00"/>
        <d v="2026-03-31T00:00:00"/>
        <d v="2026-06-17T00:00:00"/>
        <d v="2026-04-21T00:00:00"/>
        <d v="2026-05-15T00:00:00"/>
        <d v="2026-05-31T00:00:00"/>
        <d v="2026-01-27T00:00:00"/>
        <d v="2026-05-14T00:00:00"/>
        <d v="2026-05-17T00:00:00"/>
        <d v="2026-05-21T00:00:00"/>
        <d v="2026-05-08T00:00:00"/>
        <d v="2026-06-08T00:00:00"/>
        <d v="2026-02-04T00:00:00"/>
        <d v="2026-04-18T00:00:00"/>
        <d v="2026-02-16T00:00:00"/>
        <d v="2026-05-03T00:00:00"/>
        <d v="2026-02-21T00:00:00"/>
        <d v="2026-04-02T00:00:00"/>
        <d v="2026-01-25T00:00:00"/>
        <d v="2026-04-01T00:00:00"/>
        <d v="2026-03-10T00:00:00"/>
        <d v="2026-01-23T00:00:00"/>
        <d v="2026-01-26T00:00:00"/>
        <d v="2026-04-24T00:00:00"/>
        <d v="2026-02-22T00:00:00"/>
        <d v="2026-04-04T00:00:00"/>
      </sharedItems>
      <fieldGroup par="15"/>
    </cacheField>
    <cacheField name="Product" numFmtId="0">
      <sharedItems count="5">
        <s v="Watch"/>
        <s v="Laptop"/>
        <s v="Shoes"/>
        <s v="Bag"/>
        <s v="Phone"/>
      </sharedItems>
    </cacheField>
    <cacheField name="Category" numFmtId="0">
      <sharedItems count="3">
        <s v="Accessories"/>
        <s v="Electronics"/>
        <s v="Fashion"/>
      </sharedItems>
    </cacheField>
    <cacheField name="Salesperson" numFmtId="0">
      <sharedItems count="5">
        <s v="Priya"/>
        <s v="Rahul"/>
        <s v="Ravi"/>
        <s v="Amit"/>
        <s v="Sneha"/>
      </sharedItems>
    </cacheField>
    <cacheField name="Country" numFmtId="0">
      <sharedItems count="3">
        <s v="India"/>
        <s v="UK"/>
        <s v="USA"/>
      </sharedItems>
    </cacheField>
    <cacheField name="Sales Type" numFmtId="0">
      <sharedItems count="3">
        <s v="Online"/>
        <s v="Wholesale"/>
        <s v="Direct"/>
      </sharedItems>
    </cacheField>
    <cacheField name="Payment Mode" numFmtId="0">
      <sharedItems count="3">
        <s v="Card"/>
        <s v="UPI"/>
        <s v="Cash"/>
      </sharedItems>
    </cacheField>
    <cacheField name="Units Sold" numFmtId="0">
      <sharedItems containsSemiMixedTypes="0" containsString="0" containsNumber="1" containsInteger="1" minValue="1" maxValue="100"/>
    </cacheField>
    <cacheField name="S.P / UNIT" numFmtId="164">
      <sharedItems containsSemiMixedTypes="0" containsString="0" containsNumber="1" containsInteger="1" minValue="516" maxValue="19728"/>
    </cacheField>
    <cacheField name="C.P / UNIT" numFmtId="164">
      <sharedItems containsSemiMixedTypes="0" containsString="0" containsNumber="1" containsInteger="1" minValue="358" maxValue="13787"/>
    </cacheField>
    <cacheField name="Sales Amount" numFmtId="164">
      <sharedItems containsSemiMixedTypes="0" containsString="0" containsNumber="1" containsInteger="1" minValue="516" maxValue="1282000"/>
    </cacheField>
    <cacheField name="TOTAL COST WHEN BOUGHT" numFmtId="164">
      <sharedItems containsSemiMixedTypes="0" containsString="0" containsNumber="1" containsInteger="1" minValue="358" maxValue="899080"/>
    </cacheField>
    <cacheField name="Profit" numFmtId="164">
      <sharedItems containsSemiMixedTypes="0" containsString="0" containsNumber="1" containsInteger="1" minValue="158" maxValue="404800"/>
    </cacheField>
    <cacheField name="Profit %" numFmtId="10">
      <sharedItems containsSemiMixedTypes="0" containsString="0" containsNumber="1" minValue="0.15285777580859547" maxValue="0.39964664310954062"/>
    </cacheField>
    <cacheField name="Days (Date)" numFmtId="0" databaseField="0">
      <fieldGroup base="0">
        <rangePr groupBy="days" startDate="2026-01-05T00:00:00" endDate="2026-07-01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Date)" numFmtId="0" databaseField="0">
      <fieldGroup base="0">
        <rangePr groupBy="months" startDate="2026-01-05T00:00:00" endDate="2026-07-01T00:00:00"/>
        <groupItems count="14">
          <s v="&lt;05-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688263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x v="0"/>
    <n v="1"/>
    <n v="2561"/>
    <n v="2146"/>
    <n v="2561"/>
    <n v="2146"/>
    <n v="415"/>
    <n v="0.1620460757516595"/>
  </r>
  <r>
    <x v="1"/>
    <x v="0"/>
    <x v="0"/>
    <x v="1"/>
    <x v="0"/>
    <x v="1"/>
    <x v="0"/>
    <n v="12"/>
    <n v="15123"/>
    <n v="12608"/>
    <n v="181476"/>
    <n v="151296"/>
    <n v="30180"/>
    <n v="0.16630298221252396"/>
  </r>
  <r>
    <x v="2"/>
    <x v="1"/>
    <x v="1"/>
    <x v="0"/>
    <x v="1"/>
    <x v="1"/>
    <x v="1"/>
    <n v="9"/>
    <n v="6069"/>
    <n v="4066"/>
    <n v="54621"/>
    <n v="36594"/>
    <n v="18027"/>
    <n v="0.33003789751194595"/>
  </r>
  <r>
    <x v="3"/>
    <x v="2"/>
    <x v="2"/>
    <x v="2"/>
    <x v="2"/>
    <x v="2"/>
    <x v="0"/>
    <n v="7"/>
    <n v="12369"/>
    <n v="9130"/>
    <n v="86583"/>
    <n v="63910"/>
    <n v="22673"/>
    <n v="0.26186433826501737"/>
  </r>
  <r>
    <x v="4"/>
    <x v="0"/>
    <x v="0"/>
    <x v="2"/>
    <x v="0"/>
    <x v="0"/>
    <x v="2"/>
    <n v="6"/>
    <n v="1185"/>
    <n v="728"/>
    <n v="7110"/>
    <n v="4368"/>
    <n v="2742"/>
    <n v="0.38565400843881859"/>
  </r>
  <r>
    <x v="3"/>
    <x v="0"/>
    <x v="0"/>
    <x v="3"/>
    <x v="0"/>
    <x v="2"/>
    <x v="0"/>
    <n v="10"/>
    <n v="12618"/>
    <n v="9779"/>
    <n v="126180"/>
    <n v="97790"/>
    <n v="28390"/>
    <n v="0.22499603740687907"/>
  </r>
  <r>
    <x v="5"/>
    <x v="2"/>
    <x v="2"/>
    <x v="3"/>
    <x v="0"/>
    <x v="0"/>
    <x v="1"/>
    <n v="12"/>
    <n v="18553"/>
    <n v="13476"/>
    <n v="222636"/>
    <n v="161712"/>
    <n v="60924"/>
    <n v="0.27364846655527408"/>
  </r>
  <r>
    <x v="6"/>
    <x v="3"/>
    <x v="2"/>
    <x v="3"/>
    <x v="0"/>
    <x v="2"/>
    <x v="2"/>
    <n v="9"/>
    <n v="4011"/>
    <n v="3123"/>
    <n v="36099"/>
    <n v="28107"/>
    <n v="7992"/>
    <n v="0.22139117427075541"/>
  </r>
  <r>
    <x v="7"/>
    <x v="4"/>
    <x v="1"/>
    <x v="4"/>
    <x v="0"/>
    <x v="2"/>
    <x v="1"/>
    <n v="9"/>
    <n v="988"/>
    <n v="823"/>
    <n v="8892"/>
    <n v="7407"/>
    <n v="1485"/>
    <n v="0.16700404858299595"/>
  </r>
  <r>
    <x v="8"/>
    <x v="1"/>
    <x v="1"/>
    <x v="0"/>
    <x v="1"/>
    <x v="0"/>
    <x v="1"/>
    <n v="14"/>
    <n v="3999"/>
    <n v="3077"/>
    <n v="55986"/>
    <n v="43078"/>
    <n v="12908"/>
    <n v="0.23055763940985247"/>
  </r>
  <r>
    <x v="9"/>
    <x v="2"/>
    <x v="2"/>
    <x v="4"/>
    <x v="1"/>
    <x v="2"/>
    <x v="1"/>
    <n v="10"/>
    <n v="3068"/>
    <n v="1986"/>
    <n v="30680"/>
    <n v="19860"/>
    <n v="10820"/>
    <n v="0.35267275097783574"/>
  </r>
  <r>
    <x v="10"/>
    <x v="4"/>
    <x v="1"/>
    <x v="3"/>
    <x v="2"/>
    <x v="2"/>
    <x v="0"/>
    <n v="1"/>
    <n v="6398"/>
    <n v="4495"/>
    <n v="6398"/>
    <n v="4495"/>
    <n v="1903"/>
    <n v="0.29743669896842762"/>
  </r>
  <r>
    <x v="11"/>
    <x v="2"/>
    <x v="2"/>
    <x v="1"/>
    <x v="2"/>
    <x v="0"/>
    <x v="1"/>
    <n v="6"/>
    <n v="14837"/>
    <n v="10137"/>
    <n v="89022"/>
    <n v="60822"/>
    <n v="28200"/>
    <n v="0.31677562849632673"/>
  </r>
  <r>
    <x v="12"/>
    <x v="3"/>
    <x v="2"/>
    <x v="1"/>
    <x v="2"/>
    <x v="0"/>
    <x v="2"/>
    <n v="11"/>
    <n v="14943"/>
    <n v="9791"/>
    <n v="164373"/>
    <n v="107701"/>
    <n v="56672"/>
    <n v="0.34477681857726028"/>
  </r>
  <r>
    <x v="13"/>
    <x v="1"/>
    <x v="1"/>
    <x v="4"/>
    <x v="1"/>
    <x v="2"/>
    <x v="1"/>
    <n v="7"/>
    <n v="16269"/>
    <n v="12356"/>
    <n v="113883"/>
    <n v="86492"/>
    <n v="27391"/>
    <n v="0.24051877804413302"/>
  </r>
  <r>
    <x v="14"/>
    <x v="0"/>
    <x v="0"/>
    <x v="1"/>
    <x v="2"/>
    <x v="0"/>
    <x v="2"/>
    <n v="15"/>
    <n v="17776"/>
    <n v="12815"/>
    <n v="266640"/>
    <n v="192225"/>
    <n v="74415"/>
    <n v="0.27908415841584161"/>
  </r>
  <r>
    <x v="15"/>
    <x v="3"/>
    <x v="2"/>
    <x v="3"/>
    <x v="2"/>
    <x v="0"/>
    <x v="1"/>
    <n v="2"/>
    <n v="17870"/>
    <n v="13787"/>
    <n v="35740"/>
    <n v="27574"/>
    <n v="8166"/>
    <n v="0.22848349188584219"/>
  </r>
  <r>
    <x v="16"/>
    <x v="4"/>
    <x v="1"/>
    <x v="0"/>
    <x v="1"/>
    <x v="1"/>
    <x v="1"/>
    <n v="3"/>
    <n v="16640"/>
    <n v="11501"/>
    <n v="49920"/>
    <n v="34503"/>
    <n v="15417"/>
    <n v="0.30883413461538461"/>
  </r>
  <r>
    <x v="17"/>
    <x v="3"/>
    <x v="2"/>
    <x v="2"/>
    <x v="2"/>
    <x v="1"/>
    <x v="1"/>
    <n v="11"/>
    <n v="16768"/>
    <n v="12381"/>
    <n v="184448"/>
    <n v="136191"/>
    <n v="48257"/>
    <n v="0.26162929389312978"/>
  </r>
  <r>
    <x v="18"/>
    <x v="1"/>
    <x v="1"/>
    <x v="1"/>
    <x v="1"/>
    <x v="1"/>
    <x v="0"/>
    <n v="7"/>
    <n v="5736"/>
    <n v="4437"/>
    <n v="40152"/>
    <n v="31059"/>
    <n v="9093"/>
    <n v="0.22646443514644352"/>
  </r>
  <r>
    <x v="19"/>
    <x v="3"/>
    <x v="2"/>
    <x v="3"/>
    <x v="1"/>
    <x v="2"/>
    <x v="1"/>
    <n v="76"/>
    <n v="11628"/>
    <n v="8193"/>
    <n v="883728"/>
    <n v="622668"/>
    <n v="261060"/>
    <n v="0.29540763673890608"/>
  </r>
  <r>
    <x v="20"/>
    <x v="1"/>
    <x v="1"/>
    <x v="4"/>
    <x v="1"/>
    <x v="2"/>
    <x v="2"/>
    <n v="6"/>
    <n v="18231"/>
    <n v="12302"/>
    <n v="109386"/>
    <n v="73812"/>
    <n v="35574"/>
    <n v="0.32521529263342658"/>
  </r>
  <r>
    <x v="21"/>
    <x v="1"/>
    <x v="1"/>
    <x v="3"/>
    <x v="0"/>
    <x v="2"/>
    <x v="1"/>
    <n v="2"/>
    <n v="1960"/>
    <n v="1403"/>
    <n v="3920"/>
    <n v="2806"/>
    <n v="1114"/>
    <n v="0.28418367346938778"/>
  </r>
  <r>
    <x v="22"/>
    <x v="0"/>
    <x v="0"/>
    <x v="0"/>
    <x v="1"/>
    <x v="2"/>
    <x v="1"/>
    <n v="7"/>
    <n v="3228"/>
    <n v="2063"/>
    <n v="22596"/>
    <n v="14441"/>
    <n v="8155"/>
    <n v="0.36090458488228006"/>
  </r>
  <r>
    <x v="23"/>
    <x v="2"/>
    <x v="2"/>
    <x v="3"/>
    <x v="1"/>
    <x v="2"/>
    <x v="2"/>
    <n v="14"/>
    <n v="10192"/>
    <n v="7541"/>
    <n v="142688"/>
    <n v="105574"/>
    <n v="37114"/>
    <n v="0.26010596546310832"/>
  </r>
  <r>
    <x v="3"/>
    <x v="1"/>
    <x v="1"/>
    <x v="4"/>
    <x v="2"/>
    <x v="2"/>
    <x v="2"/>
    <n v="11"/>
    <n v="2507"/>
    <n v="1898"/>
    <n v="27577"/>
    <n v="20878"/>
    <n v="6699"/>
    <n v="0.24291982449142402"/>
  </r>
  <r>
    <x v="24"/>
    <x v="0"/>
    <x v="0"/>
    <x v="4"/>
    <x v="2"/>
    <x v="1"/>
    <x v="0"/>
    <n v="12"/>
    <n v="14977"/>
    <n v="9380"/>
    <n v="179724"/>
    <n v="112560"/>
    <n v="67164"/>
    <n v="0.37370634973626227"/>
  </r>
  <r>
    <x v="25"/>
    <x v="2"/>
    <x v="2"/>
    <x v="3"/>
    <x v="1"/>
    <x v="2"/>
    <x v="0"/>
    <n v="2"/>
    <n v="4278"/>
    <n v="3007"/>
    <n v="8556"/>
    <n v="6014"/>
    <n v="2542"/>
    <n v="0.29710144927536231"/>
  </r>
  <r>
    <x v="26"/>
    <x v="2"/>
    <x v="2"/>
    <x v="3"/>
    <x v="0"/>
    <x v="1"/>
    <x v="1"/>
    <n v="4"/>
    <n v="2820"/>
    <n v="2259"/>
    <n v="11280"/>
    <n v="9036"/>
    <n v="2244"/>
    <n v="0.19893617021276597"/>
  </r>
  <r>
    <x v="27"/>
    <x v="1"/>
    <x v="1"/>
    <x v="3"/>
    <x v="0"/>
    <x v="0"/>
    <x v="1"/>
    <n v="6"/>
    <n v="11138"/>
    <n v="7481"/>
    <n v="66828"/>
    <n v="44886"/>
    <n v="21942"/>
    <n v="0.32833542826360207"/>
  </r>
  <r>
    <x v="28"/>
    <x v="0"/>
    <x v="0"/>
    <x v="3"/>
    <x v="1"/>
    <x v="1"/>
    <x v="2"/>
    <n v="3"/>
    <n v="17829"/>
    <n v="13069"/>
    <n v="53487"/>
    <n v="39207"/>
    <n v="14280"/>
    <n v="0.2669807616804083"/>
  </r>
  <r>
    <x v="29"/>
    <x v="1"/>
    <x v="1"/>
    <x v="1"/>
    <x v="2"/>
    <x v="1"/>
    <x v="2"/>
    <n v="13"/>
    <n v="10742"/>
    <n v="8723"/>
    <n v="139646"/>
    <n v="113399"/>
    <n v="26247"/>
    <n v="0.18795382610314654"/>
  </r>
  <r>
    <x v="30"/>
    <x v="1"/>
    <x v="1"/>
    <x v="0"/>
    <x v="2"/>
    <x v="0"/>
    <x v="0"/>
    <n v="6"/>
    <n v="3667"/>
    <n v="2486"/>
    <n v="22002"/>
    <n v="14916"/>
    <n v="7086"/>
    <n v="0.32206163076083993"/>
  </r>
  <r>
    <x v="31"/>
    <x v="1"/>
    <x v="1"/>
    <x v="0"/>
    <x v="1"/>
    <x v="2"/>
    <x v="0"/>
    <n v="12"/>
    <n v="19451"/>
    <n v="13524"/>
    <n v="233412"/>
    <n v="162288"/>
    <n v="71124"/>
    <n v="0.30471441057015064"/>
  </r>
  <r>
    <x v="32"/>
    <x v="0"/>
    <x v="0"/>
    <x v="3"/>
    <x v="0"/>
    <x v="1"/>
    <x v="0"/>
    <n v="15"/>
    <n v="3665"/>
    <n v="2700"/>
    <n v="54975"/>
    <n v="40500"/>
    <n v="14475"/>
    <n v="0.26330150068212826"/>
  </r>
  <r>
    <x v="16"/>
    <x v="1"/>
    <x v="1"/>
    <x v="3"/>
    <x v="0"/>
    <x v="1"/>
    <x v="2"/>
    <n v="6"/>
    <n v="15491"/>
    <n v="11718"/>
    <n v="92946"/>
    <n v="70308"/>
    <n v="22638"/>
    <n v="0.24356077722548578"/>
  </r>
  <r>
    <x v="33"/>
    <x v="2"/>
    <x v="2"/>
    <x v="3"/>
    <x v="0"/>
    <x v="2"/>
    <x v="0"/>
    <n v="9"/>
    <n v="14035"/>
    <n v="8503"/>
    <n v="126315"/>
    <n v="76527"/>
    <n v="49788"/>
    <n v="0.39415746348414676"/>
  </r>
  <r>
    <x v="34"/>
    <x v="4"/>
    <x v="1"/>
    <x v="2"/>
    <x v="0"/>
    <x v="1"/>
    <x v="0"/>
    <n v="1"/>
    <n v="2156"/>
    <n v="1805"/>
    <n v="2156"/>
    <n v="1805"/>
    <n v="351"/>
    <n v="0.16280148423005567"/>
  </r>
  <r>
    <x v="35"/>
    <x v="1"/>
    <x v="1"/>
    <x v="3"/>
    <x v="2"/>
    <x v="2"/>
    <x v="0"/>
    <n v="14"/>
    <n v="16073"/>
    <n v="9919"/>
    <n v="225022"/>
    <n v="138866"/>
    <n v="86156"/>
    <n v="0.3828781185839607"/>
  </r>
  <r>
    <x v="36"/>
    <x v="4"/>
    <x v="1"/>
    <x v="1"/>
    <x v="1"/>
    <x v="0"/>
    <x v="1"/>
    <n v="9"/>
    <n v="1508"/>
    <n v="1228"/>
    <n v="13572"/>
    <n v="11052"/>
    <n v="2520"/>
    <n v="0.1856763925729443"/>
  </r>
  <r>
    <x v="37"/>
    <x v="0"/>
    <x v="0"/>
    <x v="4"/>
    <x v="2"/>
    <x v="0"/>
    <x v="2"/>
    <n v="5"/>
    <n v="6008"/>
    <n v="4057"/>
    <n v="30040"/>
    <n v="20285"/>
    <n v="9755"/>
    <n v="0.32473368841544609"/>
  </r>
  <r>
    <x v="38"/>
    <x v="3"/>
    <x v="2"/>
    <x v="3"/>
    <x v="2"/>
    <x v="1"/>
    <x v="1"/>
    <n v="3"/>
    <n v="1692"/>
    <n v="1352"/>
    <n v="5076"/>
    <n v="4056"/>
    <n v="1020"/>
    <n v="0.20094562647754138"/>
  </r>
  <r>
    <x v="39"/>
    <x v="4"/>
    <x v="1"/>
    <x v="2"/>
    <x v="2"/>
    <x v="0"/>
    <x v="2"/>
    <n v="13"/>
    <n v="7317"/>
    <n v="4891"/>
    <n v="95121"/>
    <n v="63583"/>
    <n v="31538"/>
    <n v="0.33155664889982234"/>
  </r>
  <r>
    <x v="32"/>
    <x v="2"/>
    <x v="2"/>
    <x v="0"/>
    <x v="0"/>
    <x v="0"/>
    <x v="1"/>
    <n v="2"/>
    <n v="7703"/>
    <n v="5731"/>
    <n v="15406"/>
    <n v="11462"/>
    <n v="3944"/>
    <n v="0.25600415422562639"/>
  </r>
  <r>
    <x v="40"/>
    <x v="1"/>
    <x v="1"/>
    <x v="3"/>
    <x v="0"/>
    <x v="1"/>
    <x v="2"/>
    <n v="4"/>
    <n v="3253"/>
    <n v="2725"/>
    <n v="13012"/>
    <n v="10900"/>
    <n v="2112"/>
    <n v="0.16231171226560098"/>
  </r>
  <r>
    <x v="41"/>
    <x v="1"/>
    <x v="1"/>
    <x v="3"/>
    <x v="0"/>
    <x v="2"/>
    <x v="0"/>
    <n v="9"/>
    <n v="16353"/>
    <n v="11788"/>
    <n v="147177"/>
    <n v="106092"/>
    <n v="41085"/>
    <n v="0.27915367210909314"/>
  </r>
  <r>
    <x v="42"/>
    <x v="1"/>
    <x v="1"/>
    <x v="1"/>
    <x v="1"/>
    <x v="1"/>
    <x v="0"/>
    <n v="1"/>
    <n v="14351"/>
    <n v="10033"/>
    <n v="14351"/>
    <n v="10033"/>
    <n v="4318"/>
    <n v="0.30088495575221241"/>
  </r>
  <r>
    <x v="43"/>
    <x v="0"/>
    <x v="0"/>
    <x v="3"/>
    <x v="2"/>
    <x v="1"/>
    <x v="2"/>
    <n v="2"/>
    <n v="14080"/>
    <n v="10944"/>
    <n v="28160"/>
    <n v="21888"/>
    <n v="6272"/>
    <n v="0.22272727272727272"/>
  </r>
  <r>
    <x v="44"/>
    <x v="2"/>
    <x v="2"/>
    <x v="3"/>
    <x v="0"/>
    <x v="1"/>
    <x v="1"/>
    <n v="15"/>
    <n v="4773"/>
    <n v="3800"/>
    <n v="71595"/>
    <n v="57000"/>
    <n v="14595"/>
    <n v="0.20385501780850618"/>
  </r>
  <r>
    <x v="16"/>
    <x v="1"/>
    <x v="1"/>
    <x v="4"/>
    <x v="2"/>
    <x v="2"/>
    <x v="2"/>
    <n v="9"/>
    <n v="13260"/>
    <n v="9208"/>
    <n v="119340"/>
    <n v="82872"/>
    <n v="36468"/>
    <n v="0.30558069381598796"/>
  </r>
  <r>
    <x v="45"/>
    <x v="4"/>
    <x v="1"/>
    <x v="1"/>
    <x v="0"/>
    <x v="2"/>
    <x v="1"/>
    <n v="10"/>
    <n v="1691"/>
    <n v="1267"/>
    <n v="16910"/>
    <n v="12670"/>
    <n v="4240"/>
    <n v="0.25073920756948553"/>
  </r>
  <r>
    <x v="46"/>
    <x v="3"/>
    <x v="2"/>
    <x v="2"/>
    <x v="1"/>
    <x v="0"/>
    <x v="0"/>
    <n v="8"/>
    <n v="15317"/>
    <n v="12324"/>
    <n v="122536"/>
    <n v="98592"/>
    <n v="23944"/>
    <n v="0.19540379969968008"/>
  </r>
  <r>
    <x v="34"/>
    <x v="1"/>
    <x v="1"/>
    <x v="0"/>
    <x v="2"/>
    <x v="0"/>
    <x v="0"/>
    <n v="1"/>
    <n v="10429"/>
    <n v="7342"/>
    <n v="10429"/>
    <n v="7342"/>
    <n v="3087"/>
    <n v="0.2960015341835267"/>
  </r>
  <r>
    <x v="47"/>
    <x v="0"/>
    <x v="0"/>
    <x v="3"/>
    <x v="2"/>
    <x v="2"/>
    <x v="2"/>
    <n v="13"/>
    <n v="10478"/>
    <n v="7766"/>
    <n v="136214"/>
    <n v="100958"/>
    <n v="35256"/>
    <n v="0.25882802061462112"/>
  </r>
  <r>
    <x v="48"/>
    <x v="2"/>
    <x v="2"/>
    <x v="4"/>
    <x v="2"/>
    <x v="2"/>
    <x v="2"/>
    <n v="8"/>
    <n v="6804"/>
    <n v="5030"/>
    <n v="54432"/>
    <n v="40240"/>
    <n v="14192"/>
    <n v="0.26072898295120517"/>
  </r>
  <r>
    <x v="49"/>
    <x v="3"/>
    <x v="2"/>
    <x v="3"/>
    <x v="2"/>
    <x v="2"/>
    <x v="2"/>
    <n v="3"/>
    <n v="8988"/>
    <n v="6678"/>
    <n v="26964"/>
    <n v="20034"/>
    <n v="6930"/>
    <n v="0.2570093457943925"/>
  </r>
  <r>
    <x v="23"/>
    <x v="1"/>
    <x v="1"/>
    <x v="1"/>
    <x v="1"/>
    <x v="2"/>
    <x v="0"/>
    <n v="8"/>
    <n v="2493"/>
    <n v="1832"/>
    <n v="19944"/>
    <n v="14656"/>
    <n v="5288"/>
    <n v="0.26514239871640594"/>
  </r>
  <r>
    <x v="50"/>
    <x v="1"/>
    <x v="1"/>
    <x v="4"/>
    <x v="0"/>
    <x v="0"/>
    <x v="0"/>
    <n v="4"/>
    <n v="11485"/>
    <n v="7109"/>
    <n v="45940"/>
    <n v="28436"/>
    <n v="17504"/>
    <n v="0.38101872006965609"/>
  </r>
  <r>
    <x v="51"/>
    <x v="2"/>
    <x v="2"/>
    <x v="2"/>
    <x v="0"/>
    <x v="1"/>
    <x v="2"/>
    <n v="11"/>
    <n v="9121"/>
    <n v="6733"/>
    <n v="100331"/>
    <n v="74063"/>
    <n v="26268"/>
    <n v="0.26181339765376604"/>
  </r>
  <r>
    <x v="52"/>
    <x v="3"/>
    <x v="2"/>
    <x v="3"/>
    <x v="1"/>
    <x v="2"/>
    <x v="0"/>
    <n v="2"/>
    <n v="19728"/>
    <n v="12099"/>
    <n v="39456"/>
    <n v="24198"/>
    <n v="15258"/>
    <n v="0.38670924574209248"/>
  </r>
  <r>
    <x v="53"/>
    <x v="1"/>
    <x v="1"/>
    <x v="1"/>
    <x v="2"/>
    <x v="0"/>
    <x v="2"/>
    <n v="13"/>
    <n v="6750"/>
    <n v="4058"/>
    <n v="87750"/>
    <n v="52754"/>
    <n v="34996"/>
    <n v="0.39881481481481479"/>
  </r>
  <r>
    <x v="54"/>
    <x v="2"/>
    <x v="2"/>
    <x v="2"/>
    <x v="0"/>
    <x v="0"/>
    <x v="2"/>
    <n v="27"/>
    <n v="7316"/>
    <n v="5964"/>
    <n v="197532"/>
    <n v="161028"/>
    <n v="36504"/>
    <n v="0.18480043739748497"/>
  </r>
  <r>
    <x v="0"/>
    <x v="0"/>
    <x v="0"/>
    <x v="1"/>
    <x v="0"/>
    <x v="2"/>
    <x v="1"/>
    <n v="9"/>
    <n v="8243"/>
    <n v="5114"/>
    <n v="74187"/>
    <n v="46026"/>
    <n v="28161"/>
    <n v="0.37959480771563753"/>
  </r>
  <r>
    <x v="55"/>
    <x v="1"/>
    <x v="1"/>
    <x v="1"/>
    <x v="1"/>
    <x v="1"/>
    <x v="0"/>
    <n v="1"/>
    <n v="4506"/>
    <n v="3419"/>
    <n v="4506"/>
    <n v="3419"/>
    <n v="1087"/>
    <n v="0.24123391034176653"/>
  </r>
  <r>
    <x v="56"/>
    <x v="4"/>
    <x v="1"/>
    <x v="4"/>
    <x v="0"/>
    <x v="1"/>
    <x v="2"/>
    <n v="100"/>
    <n v="12820"/>
    <n v="8772"/>
    <n v="1282000"/>
    <n v="877200"/>
    <n v="404800"/>
    <n v="0.31575663026521061"/>
  </r>
  <r>
    <x v="57"/>
    <x v="2"/>
    <x v="2"/>
    <x v="4"/>
    <x v="1"/>
    <x v="0"/>
    <x v="2"/>
    <n v="8"/>
    <n v="4415"/>
    <n v="3167"/>
    <n v="35320"/>
    <n v="25336"/>
    <n v="9984"/>
    <n v="0.28267270668176669"/>
  </r>
  <r>
    <x v="30"/>
    <x v="1"/>
    <x v="1"/>
    <x v="2"/>
    <x v="1"/>
    <x v="1"/>
    <x v="0"/>
    <n v="8"/>
    <n v="4773"/>
    <n v="3660"/>
    <n v="38184"/>
    <n v="29280"/>
    <n v="8904"/>
    <n v="0.23318667504714016"/>
  </r>
  <r>
    <x v="58"/>
    <x v="4"/>
    <x v="1"/>
    <x v="3"/>
    <x v="0"/>
    <x v="2"/>
    <x v="0"/>
    <n v="14"/>
    <n v="8351"/>
    <n v="6401"/>
    <n v="116914"/>
    <n v="89614"/>
    <n v="27300"/>
    <n v="0.23350496946473476"/>
  </r>
  <r>
    <x v="42"/>
    <x v="2"/>
    <x v="2"/>
    <x v="3"/>
    <x v="0"/>
    <x v="0"/>
    <x v="0"/>
    <n v="15"/>
    <n v="8306"/>
    <n v="6307"/>
    <n v="124590"/>
    <n v="94605"/>
    <n v="29985"/>
    <n v="0.24066939561762582"/>
  </r>
  <r>
    <x v="59"/>
    <x v="3"/>
    <x v="2"/>
    <x v="1"/>
    <x v="1"/>
    <x v="0"/>
    <x v="0"/>
    <n v="3"/>
    <n v="13746"/>
    <n v="8660"/>
    <n v="41238"/>
    <n v="25980"/>
    <n v="15258"/>
    <n v="0.36999854503128182"/>
  </r>
  <r>
    <x v="60"/>
    <x v="0"/>
    <x v="0"/>
    <x v="3"/>
    <x v="1"/>
    <x v="2"/>
    <x v="2"/>
    <n v="14"/>
    <n v="6990"/>
    <n v="5529"/>
    <n v="97860"/>
    <n v="77406"/>
    <n v="20454"/>
    <n v="0.20901287553648068"/>
  </r>
  <r>
    <x v="61"/>
    <x v="0"/>
    <x v="0"/>
    <x v="1"/>
    <x v="1"/>
    <x v="2"/>
    <x v="1"/>
    <n v="15"/>
    <n v="2822"/>
    <n v="2150"/>
    <n v="42330"/>
    <n v="32250"/>
    <n v="10080"/>
    <n v="0.23812898653437278"/>
  </r>
  <r>
    <x v="62"/>
    <x v="0"/>
    <x v="0"/>
    <x v="2"/>
    <x v="1"/>
    <x v="0"/>
    <x v="0"/>
    <n v="5"/>
    <n v="10883"/>
    <n v="8381"/>
    <n v="54415"/>
    <n v="41905"/>
    <n v="12510"/>
    <n v="0.22989984379307177"/>
  </r>
  <r>
    <x v="0"/>
    <x v="3"/>
    <x v="2"/>
    <x v="2"/>
    <x v="1"/>
    <x v="2"/>
    <x v="2"/>
    <n v="5"/>
    <n v="6419"/>
    <n v="5026"/>
    <n v="32095"/>
    <n v="25130"/>
    <n v="6965"/>
    <n v="0.21701199563794984"/>
  </r>
  <r>
    <x v="63"/>
    <x v="0"/>
    <x v="0"/>
    <x v="1"/>
    <x v="0"/>
    <x v="0"/>
    <x v="1"/>
    <n v="1"/>
    <n v="5660"/>
    <n v="3398"/>
    <n v="5660"/>
    <n v="3398"/>
    <n v="2262"/>
    <n v="0.39964664310954062"/>
  </r>
  <r>
    <x v="23"/>
    <x v="1"/>
    <x v="1"/>
    <x v="4"/>
    <x v="2"/>
    <x v="2"/>
    <x v="2"/>
    <n v="13"/>
    <n v="4095"/>
    <n v="2826"/>
    <n v="53235"/>
    <n v="36738"/>
    <n v="16497"/>
    <n v="0.3098901098901099"/>
  </r>
  <r>
    <x v="64"/>
    <x v="1"/>
    <x v="1"/>
    <x v="4"/>
    <x v="2"/>
    <x v="1"/>
    <x v="0"/>
    <n v="13"/>
    <n v="2257"/>
    <n v="1912"/>
    <n v="29341"/>
    <n v="24856"/>
    <n v="4485"/>
    <n v="0.15285777580859547"/>
  </r>
  <r>
    <x v="65"/>
    <x v="0"/>
    <x v="0"/>
    <x v="0"/>
    <x v="2"/>
    <x v="1"/>
    <x v="2"/>
    <n v="3"/>
    <n v="7085"/>
    <n v="4476"/>
    <n v="21255"/>
    <n v="13428"/>
    <n v="7827"/>
    <n v="0.36824276640790404"/>
  </r>
  <r>
    <x v="10"/>
    <x v="1"/>
    <x v="1"/>
    <x v="4"/>
    <x v="2"/>
    <x v="0"/>
    <x v="2"/>
    <n v="14"/>
    <n v="15495"/>
    <n v="11163"/>
    <n v="216930"/>
    <n v="156282"/>
    <n v="60648"/>
    <n v="0.27957405614714426"/>
  </r>
  <r>
    <x v="66"/>
    <x v="1"/>
    <x v="1"/>
    <x v="3"/>
    <x v="1"/>
    <x v="2"/>
    <x v="1"/>
    <n v="5"/>
    <n v="10674"/>
    <n v="8858"/>
    <n v="53370"/>
    <n v="44290"/>
    <n v="9080"/>
    <n v="0.17013303353944165"/>
  </r>
  <r>
    <x v="32"/>
    <x v="1"/>
    <x v="1"/>
    <x v="4"/>
    <x v="2"/>
    <x v="0"/>
    <x v="2"/>
    <n v="12"/>
    <n v="2413"/>
    <n v="1703"/>
    <n v="28956"/>
    <n v="20436"/>
    <n v="8520"/>
    <n v="0.29423953584749274"/>
  </r>
  <r>
    <x v="61"/>
    <x v="0"/>
    <x v="0"/>
    <x v="4"/>
    <x v="2"/>
    <x v="2"/>
    <x v="2"/>
    <n v="70"/>
    <n v="16237"/>
    <n v="12844"/>
    <n v="1136590"/>
    <n v="899080"/>
    <n v="237510"/>
    <n v="0.20896717373899118"/>
  </r>
  <r>
    <x v="18"/>
    <x v="0"/>
    <x v="0"/>
    <x v="4"/>
    <x v="0"/>
    <x v="2"/>
    <x v="1"/>
    <n v="13"/>
    <n v="15734"/>
    <n v="12818"/>
    <n v="204542"/>
    <n v="166634"/>
    <n v="37908"/>
    <n v="0.18533113003686286"/>
  </r>
  <r>
    <x v="67"/>
    <x v="1"/>
    <x v="1"/>
    <x v="2"/>
    <x v="0"/>
    <x v="0"/>
    <x v="2"/>
    <n v="7"/>
    <n v="10824"/>
    <n v="8144"/>
    <n v="75768"/>
    <n v="57008"/>
    <n v="18760"/>
    <n v="0.24759793052475979"/>
  </r>
  <r>
    <x v="0"/>
    <x v="3"/>
    <x v="2"/>
    <x v="2"/>
    <x v="2"/>
    <x v="0"/>
    <x v="1"/>
    <n v="10"/>
    <n v="1665"/>
    <n v="1351"/>
    <n v="16650"/>
    <n v="13510"/>
    <n v="3140"/>
    <n v="0.1885885885885886"/>
  </r>
  <r>
    <x v="68"/>
    <x v="1"/>
    <x v="1"/>
    <x v="0"/>
    <x v="0"/>
    <x v="2"/>
    <x v="1"/>
    <n v="8"/>
    <n v="2357"/>
    <n v="1906"/>
    <n v="18856"/>
    <n v="15248"/>
    <n v="3608"/>
    <n v="0.19134492999575731"/>
  </r>
  <r>
    <x v="69"/>
    <x v="3"/>
    <x v="2"/>
    <x v="0"/>
    <x v="2"/>
    <x v="0"/>
    <x v="1"/>
    <n v="6"/>
    <n v="2004"/>
    <n v="1625"/>
    <n v="12024"/>
    <n v="9750"/>
    <n v="2274"/>
    <n v="0.18912175648702595"/>
  </r>
  <r>
    <x v="17"/>
    <x v="0"/>
    <x v="0"/>
    <x v="1"/>
    <x v="0"/>
    <x v="2"/>
    <x v="2"/>
    <n v="4"/>
    <n v="5627"/>
    <n v="4623"/>
    <n v="22508"/>
    <n v="18492"/>
    <n v="4016"/>
    <n v="0.17842544872934069"/>
  </r>
  <r>
    <x v="70"/>
    <x v="3"/>
    <x v="2"/>
    <x v="0"/>
    <x v="2"/>
    <x v="1"/>
    <x v="1"/>
    <n v="13"/>
    <n v="11504"/>
    <n v="8346"/>
    <n v="149552"/>
    <n v="108498"/>
    <n v="41054"/>
    <n v="0.27451321279554936"/>
  </r>
  <r>
    <x v="71"/>
    <x v="2"/>
    <x v="2"/>
    <x v="2"/>
    <x v="0"/>
    <x v="1"/>
    <x v="1"/>
    <n v="8"/>
    <n v="8778"/>
    <n v="6350"/>
    <n v="70224"/>
    <n v="50800"/>
    <n v="19424"/>
    <n v="0.27660059239006607"/>
  </r>
  <r>
    <x v="8"/>
    <x v="3"/>
    <x v="2"/>
    <x v="0"/>
    <x v="0"/>
    <x v="2"/>
    <x v="0"/>
    <n v="1"/>
    <n v="516"/>
    <n v="358"/>
    <n v="516"/>
    <n v="358"/>
    <n v="158"/>
    <n v="0.30620155038759689"/>
  </r>
  <r>
    <x v="72"/>
    <x v="2"/>
    <x v="2"/>
    <x v="3"/>
    <x v="2"/>
    <x v="0"/>
    <x v="2"/>
    <n v="13"/>
    <n v="1764"/>
    <n v="1198"/>
    <n v="22932"/>
    <n v="15574"/>
    <n v="7358"/>
    <n v="0.32086167800453513"/>
  </r>
  <r>
    <x v="73"/>
    <x v="0"/>
    <x v="0"/>
    <x v="0"/>
    <x v="1"/>
    <x v="1"/>
    <x v="1"/>
    <n v="6"/>
    <n v="5687"/>
    <n v="4738"/>
    <n v="34122"/>
    <n v="28428"/>
    <n v="5694"/>
    <n v="0.16687181290662914"/>
  </r>
  <r>
    <x v="74"/>
    <x v="2"/>
    <x v="2"/>
    <x v="1"/>
    <x v="1"/>
    <x v="2"/>
    <x v="0"/>
    <n v="8"/>
    <n v="8773"/>
    <n v="6593"/>
    <n v="70184"/>
    <n v="52744"/>
    <n v="17440"/>
    <n v="0.24848968425852047"/>
  </r>
  <r>
    <x v="7"/>
    <x v="1"/>
    <x v="1"/>
    <x v="1"/>
    <x v="2"/>
    <x v="1"/>
    <x v="2"/>
    <n v="14"/>
    <n v="1893"/>
    <n v="1556"/>
    <n v="26502"/>
    <n v="21784"/>
    <n v="4718"/>
    <n v="0.17802430005282621"/>
  </r>
  <r>
    <x v="75"/>
    <x v="0"/>
    <x v="0"/>
    <x v="1"/>
    <x v="2"/>
    <x v="1"/>
    <x v="0"/>
    <n v="6"/>
    <n v="13345"/>
    <n v="8821"/>
    <n v="80070"/>
    <n v="52926"/>
    <n v="27144"/>
    <n v="0.33900337204945674"/>
  </r>
  <r>
    <x v="2"/>
    <x v="2"/>
    <x v="2"/>
    <x v="4"/>
    <x v="0"/>
    <x v="0"/>
    <x v="2"/>
    <n v="15"/>
    <n v="7283"/>
    <n v="5000"/>
    <n v="109245"/>
    <n v="75000"/>
    <n v="34245"/>
    <n v="0.31346972401482903"/>
  </r>
  <r>
    <x v="76"/>
    <x v="1"/>
    <x v="1"/>
    <x v="2"/>
    <x v="0"/>
    <x v="1"/>
    <x v="2"/>
    <n v="7"/>
    <n v="3627"/>
    <n v="2505"/>
    <n v="25389"/>
    <n v="17535"/>
    <n v="7854"/>
    <n v="0.30934656741108352"/>
  </r>
  <r>
    <x v="77"/>
    <x v="3"/>
    <x v="2"/>
    <x v="2"/>
    <x v="0"/>
    <x v="2"/>
    <x v="2"/>
    <n v="1"/>
    <n v="12677"/>
    <n v="8088"/>
    <n v="12677"/>
    <n v="8088"/>
    <n v="4589"/>
    <n v="0.36199416265677997"/>
  </r>
  <r>
    <x v="5"/>
    <x v="3"/>
    <x v="2"/>
    <x v="4"/>
    <x v="2"/>
    <x v="1"/>
    <x v="1"/>
    <n v="15"/>
    <n v="10004"/>
    <n v="7304"/>
    <n v="150060"/>
    <n v="109560"/>
    <n v="40500"/>
    <n v="0.269892043182726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003A7C-7E58-41EC-B7E2-E56B94E497C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A13:C19" firstHeaderRow="0" firstDataRow="1" firstDataCol="1"/>
  <pivotFields count="16">
    <pivotField numFmtId="14" showAll="0">
      <items count="79">
        <item x="39"/>
        <item x="52"/>
        <item x="5"/>
        <item x="23"/>
        <item x="37"/>
        <item x="32"/>
        <item x="3"/>
        <item x="6"/>
        <item x="73"/>
        <item x="70"/>
        <item x="74"/>
        <item x="58"/>
        <item x="40"/>
        <item x="64"/>
        <item x="19"/>
        <item x="34"/>
        <item x="1"/>
        <item x="42"/>
        <item x="18"/>
        <item x="66"/>
        <item x="47"/>
        <item x="68"/>
        <item x="76"/>
        <item x="31"/>
        <item x="29"/>
        <item x="46"/>
        <item x="17"/>
        <item x="12"/>
        <item x="72"/>
        <item x="49"/>
        <item x="30"/>
        <item x="7"/>
        <item x="27"/>
        <item x="41"/>
        <item x="21"/>
        <item x="35"/>
        <item x="53"/>
        <item x="71"/>
        <item x="69"/>
        <item x="77"/>
        <item x="26"/>
        <item x="22"/>
        <item x="0"/>
        <item x="14"/>
        <item x="65"/>
        <item x="10"/>
        <item x="28"/>
        <item x="55"/>
        <item x="75"/>
        <item x="48"/>
        <item x="51"/>
        <item x="25"/>
        <item x="67"/>
        <item x="13"/>
        <item x="36"/>
        <item x="62"/>
        <item x="20"/>
        <item x="38"/>
        <item x="59"/>
        <item x="56"/>
        <item x="60"/>
        <item x="4"/>
        <item x="61"/>
        <item x="44"/>
        <item x="2"/>
        <item x="24"/>
        <item x="16"/>
        <item x="57"/>
        <item x="45"/>
        <item x="8"/>
        <item x="50"/>
        <item x="63"/>
        <item x="15"/>
        <item x="54"/>
        <item x="11"/>
        <item x="9"/>
        <item x="43"/>
        <item x="33"/>
        <item t="default"/>
      </items>
    </pivotField>
    <pivotField axis="axisRow" showAll="0">
      <items count="6">
        <item x="3"/>
        <item x="1"/>
        <item x="4"/>
        <item x="2"/>
        <item x="0"/>
        <item t="default"/>
      </items>
    </pivotField>
    <pivotField showAll="0">
      <items count="4">
        <item x="0"/>
        <item x="1"/>
        <item x="2"/>
        <item t="default"/>
      </items>
    </pivotField>
    <pivotField showAll="0">
      <items count="6">
        <item x="3"/>
        <item x="0"/>
        <item x="1"/>
        <item x="2"/>
        <item x="4"/>
        <item t="default"/>
      </items>
    </pivotField>
    <pivotField showAll="0">
      <items count="4">
        <item x="0"/>
        <item x="1"/>
        <item x="2"/>
        <item t="default"/>
      </items>
    </pivotField>
    <pivotField showAll="0"/>
    <pivotField showAll="0">
      <items count="4">
        <item x="0"/>
        <item x="2"/>
        <item x="1"/>
        <item t="default"/>
      </items>
    </pivotField>
    <pivotField showAll="0"/>
    <pivotField numFmtId="164" showAll="0"/>
    <pivotField numFmtId="164" showAll="0"/>
    <pivotField dataField="1" numFmtId="164" showAll="0"/>
    <pivotField numFmtId="164" showAll="0"/>
    <pivotField dataField="1" numFmtId="164"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Fields count="1">
    <field x="-2"/>
  </colFields>
  <colItems count="2">
    <i>
      <x/>
    </i>
    <i i="1">
      <x v="1"/>
    </i>
  </colItems>
  <dataFields count="2">
    <dataField name="Sum of Sales Amount" fld="10" baseField="0" baseItem="0" numFmtId="164"/>
    <dataField name="Sum of Profit" fld="12" baseField="0" baseItem="0" numFmtId="164"/>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683B42-8F59-4363-AA2C-3B58005BA4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SALESPERSON">
  <location ref="A1:B7" firstHeaderRow="1" firstDataRow="1" firstDataCol="1"/>
  <pivotFields count="16">
    <pivotField numFmtId="14" showAll="0">
      <items count="79">
        <item x="39"/>
        <item x="52"/>
        <item x="5"/>
        <item x="23"/>
        <item x="37"/>
        <item x="32"/>
        <item x="3"/>
        <item x="6"/>
        <item x="73"/>
        <item x="70"/>
        <item x="74"/>
        <item x="58"/>
        <item x="40"/>
        <item x="64"/>
        <item x="19"/>
        <item x="34"/>
        <item x="1"/>
        <item x="42"/>
        <item x="18"/>
        <item x="66"/>
        <item x="47"/>
        <item x="68"/>
        <item x="76"/>
        <item x="31"/>
        <item x="29"/>
        <item x="46"/>
        <item x="17"/>
        <item x="12"/>
        <item x="72"/>
        <item x="49"/>
        <item x="30"/>
        <item x="7"/>
        <item x="27"/>
        <item x="41"/>
        <item x="21"/>
        <item x="35"/>
        <item x="53"/>
        <item x="71"/>
        <item x="69"/>
        <item x="77"/>
        <item x="26"/>
        <item x="22"/>
        <item x="0"/>
        <item x="14"/>
        <item x="65"/>
        <item x="10"/>
        <item x="28"/>
        <item x="55"/>
        <item x="75"/>
        <item x="48"/>
        <item x="51"/>
        <item x="25"/>
        <item x="67"/>
        <item x="13"/>
        <item x="36"/>
        <item x="62"/>
        <item x="20"/>
        <item x="38"/>
        <item x="59"/>
        <item x="56"/>
        <item x="60"/>
        <item x="4"/>
        <item x="61"/>
        <item x="44"/>
        <item x="2"/>
        <item x="24"/>
        <item x="16"/>
        <item x="57"/>
        <item x="45"/>
        <item x="8"/>
        <item x="50"/>
        <item x="63"/>
        <item x="15"/>
        <item x="54"/>
        <item x="11"/>
        <item x="9"/>
        <item x="43"/>
        <item x="33"/>
        <item t="default"/>
      </items>
    </pivotField>
    <pivotField showAll="0">
      <items count="6">
        <item x="3"/>
        <item x="1"/>
        <item x="4"/>
        <item x="2"/>
        <item x="0"/>
        <item t="default"/>
      </items>
    </pivotField>
    <pivotField showAll="0">
      <items count="4">
        <item x="0"/>
        <item x="1"/>
        <item x="2"/>
        <item t="default"/>
      </items>
    </pivotField>
    <pivotField axis="axisRow" showAll="0">
      <items count="6">
        <item x="3"/>
        <item x="0"/>
        <item x="1"/>
        <item x="2"/>
        <item x="4"/>
        <item t="default"/>
      </items>
    </pivotField>
    <pivotField showAll="0">
      <items count="4">
        <item x="0"/>
        <item x="1"/>
        <item x="2"/>
        <item t="default"/>
      </items>
    </pivotField>
    <pivotField showAll="0"/>
    <pivotField showAll="0">
      <items count="4">
        <item x="0"/>
        <item x="2"/>
        <item x="1"/>
        <item t="default"/>
      </items>
    </pivotField>
    <pivotField showAll="0"/>
    <pivotField numFmtId="164" showAll="0"/>
    <pivotField numFmtId="164" showAll="0"/>
    <pivotField dataField="1" numFmtId="164" showAll="0"/>
    <pivotField numFmtId="164" showAll="0"/>
    <pivotField numFmtId="164"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Items count="1">
    <i/>
  </colItems>
  <dataFields count="1">
    <dataField name="Sum of Sales Amount" fld="10" baseField="0" baseItem="0" numFmtId="164"/>
  </dataFields>
  <chartFormats count="2">
    <chartFormat chart="4"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60DA02-4BC6-44E6-B1A1-5449DD44284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AYEMENT MODE">
  <location ref="G25:H29" firstHeaderRow="1" firstDataRow="1" firstDataCol="1"/>
  <pivotFields count="16">
    <pivotField numFmtId="14" showAll="0">
      <items count="79">
        <item x="39"/>
        <item x="52"/>
        <item x="5"/>
        <item x="23"/>
        <item x="37"/>
        <item x="32"/>
        <item x="3"/>
        <item x="6"/>
        <item x="73"/>
        <item x="70"/>
        <item x="74"/>
        <item x="58"/>
        <item x="40"/>
        <item x="64"/>
        <item x="19"/>
        <item x="34"/>
        <item x="1"/>
        <item x="42"/>
        <item x="18"/>
        <item x="66"/>
        <item x="47"/>
        <item x="68"/>
        <item x="76"/>
        <item x="31"/>
        <item x="29"/>
        <item x="46"/>
        <item x="17"/>
        <item x="12"/>
        <item x="72"/>
        <item x="49"/>
        <item x="30"/>
        <item x="7"/>
        <item x="27"/>
        <item x="41"/>
        <item x="21"/>
        <item x="35"/>
        <item x="53"/>
        <item x="71"/>
        <item x="69"/>
        <item x="77"/>
        <item x="26"/>
        <item x="22"/>
        <item x="0"/>
        <item x="14"/>
        <item x="65"/>
        <item x="10"/>
        <item x="28"/>
        <item x="55"/>
        <item x="75"/>
        <item x="48"/>
        <item x="51"/>
        <item x="25"/>
        <item x="67"/>
        <item x="13"/>
        <item x="36"/>
        <item x="62"/>
        <item x="20"/>
        <item x="38"/>
        <item x="59"/>
        <item x="56"/>
        <item x="60"/>
        <item x="4"/>
        <item x="61"/>
        <item x="44"/>
        <item x="2"/>
        <item x="24"/>
        <item x="16"/>
        <item x="57"/>
        <item x="45"/>
        <item x="8"/>
        <item x="50"/>
        <item x="63"/>
        <item x="15"/>
        <item x="54"/>
        <item x="11"/>
        <item x="9"/>
        <item x="43"/>
        <item x="33"/>
        <item t="default"/>
      </items>
    </pivotField>
    <pivotField showAll="0">
      <items count="6">
        <item x="3"/>
        <item x="1"/>
        <item x="4"/>
        <item x="2"/>
        <item x="0"/>
        <item t="default"/>
      </items>
    </pivotField>
    <pivotField showAll="0">
      <items count="4">
        <item x="0"/>
        <item x="1"/>
        <item x="2"/>
        <item t="default"/>
      </items>
    </pivotField>
    <pivotField showAll="0">
      <items count="6">
        <item x="3"/>
        <item x="0"/>
        <item x="1"/>
        <item x="2"/>
        <item x="4"/>
        <item t="default"/>
      </items>
    </pivotField>
    <pivotField showAll="0">
      <items count="4">
        <item x="0"/>
        <item x="1"/>
        <item x="2"/>
        <item t="default"/>
      </items>
    </pivotField>
    <pivotField showAll="0"/>
    <pivotField axis="axisRow" showAll="0">
      <items count="4">
        <item x="0"/>
        <item x="2"/>
        <item x="1"/>
        <item t="default"/>
      </items>
    </pivotField>
    <pivotField showAll="0"/>
    <pivotField numFmtId="164" showAll="0"/>
    <pivotField numFmtId="164" showAll="0"/>
    <pivotField dataField="1" numFmtId="164" showAll="0"/>
    <pivotField numFmtId="164" showAll="0"/>
    <pivotField numFmtId="164"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4">
    <i>
      <x/>
    </i>
    <i>
      <x v="1"/>
    </i>
    <i>
      <x v="2"/>
    </i>
    <i t="grand">
      <x/>
    </i>
  </rowItems>
  <colItems count="1">
    <i/>
  </colItems>
  <dataFields count="1">
    <dataField name="Sum of Sales Amount" fld="10" baseField="0" baseItem="0" numFmtId="164"/>
  </dataFields>
  <chartFormats count="8">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6" count="1" selected="0">
            <x v="0"/>
          </reference>
        </references>
      </pivotArea>
    </chartFormat>
    <chartFormat chart="6" format="10">
      <pivotArea type="data" outline="0" fieldPosition="0">
        <references count="2">
          <reference field="4294967294" count="1" selected="0">
            <x v="0"/>
          </reference>
          <reference field="6" count="1" selected="0">
            <x v="1"/>
          </reference>
        </references>
      </pivotArea>
    </chartFormat>
    <chartFormat chart="6" format="11">
      <pivotArea type="data" outline="0" fieldPosition="0">
        <references count="2">
          <reference field="4294967294" count="1" selected="0">
            <x v="0"/>
          </reference>
          <reference field="6" count="1" selected="0">
            <x v="2"/>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6" count="1" selected="0">
            <x v="0"/>
          </reference>
        </references>
      </pivotArea>
    </chartFormat>
    <chartFormat chart="10" format="18">
      <pivotArea type="data" outline="0" fieldPosition="0">
        <references count="2">
          <reference field="4294967294" count="1" selected="0">
            <x v="0"/>
          </reference>
          <reference field="6" count="1" selected="0">
            <x v="1"/>
          </reference>
        </references>
      </pivotArea>
    </chartFormat>
    <chartFormat chart="10" format="1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BC7515-43A1-4860-8829-4692089C738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ATEGORY">
  <location ref="F3:G7" firstHeaderRow="1" firstDataRow="1" firstDataCol="1"/>
  <pivotFields count="16">
    <pivotField numFmtId="14" showAll="0">
      <items count="79">
        <item x="39"/>
        <item x="52"/>
        <item x="5"/>
        <item x="23"/>
        <item x="37"/>
        <item x="32"/>
        <item x="3"/>
        <item x="6"/>
        <item x="73"/>
        <item x="70"/>
        <item x="74"/>
        <item x="58"/>
        <item x="40"/>
        <item x="64"/>
        <item x="19"/>
        <item x="34"/>
        <item x="1"/>
        <item x="42"/>
        <item x="18"/>
        <item x="66"/>
        <item x="47"/>
        <item x="68"/>
        <item x="76"/>
        <item x="31"/>
        <item x="29"/>
        <item x="46"/>
        <item x="17"/>
        <item x="12"/>
        <item x="72"/>
        <item x="49"/>
        <item x="30"/>
        <item x="7"/>
        <item x="27"/>
        <item x="41"/>
        <item x="21"/>
        <item x="35"/>
        <item x="53"/>
        <item x="71"/>
        <item x="69"/>
        <item x="77"/>
        <item x="26"/>
        <item x="22"/>
        <item x="0"/>
        <item x="14"/>
        <item x="65"/>
        <item x="10"/>
        <item x="28"/>
        <item x="55"/>
        <item x="75"/>
        <item x="48"/>
        <item x="51"/>
        <item x="25"/>
        <item x="67"/>
        <item x="13"/>
        <item x="36"/>
        <item x="62"/>
        <item x="20"/>
        <item x="38"/>
        <item x="59"/>
        <item x="56"/>
        <item x="60"/>
        <item x="4"/>
        <item x="61"/>
        <item x="44"/>
        <item x="2"/>
        <item x="24"/>
        <item x="16"/>
        <item x="57"/>
        <item x="45"/>
        <item x="8"/>
        <item x="50"/>
        <item x="63"/>
        <item x="15"/>
        <item x="54"/>
        <item x="11"/>
        <item x="9"/>
        <item x="43"/>
        <item x="33"/>
        <item t="default"/>
      </items>
    </pivotField>
    <pivotField showAll="0">
      <items count="6">
        <item x="3"/>
        <item x="1"/>
        <item x="4"/>
        <item x="2"/>
        <item x="0"/>
        <item t="default"/>
      </items>
    </pivotField>
    <pivotField axis="axisRow" showAll="0">
      <items count="4">
        <item x="0"/>
        <item x="1"/>
        <item x="2"/>
        <item t="default"/>
      </items>
    </pivotField>
    <pivotField showAll="0">
      <items count="6">
        <item x="3"/>
        <item x="0"/>
        <item x="1"/>
        <item x="2"/>
        <item x="4"/>
        <item t="default"/>
      </items>
    </pivotField>
    <pivotField showAll="0">
      <items count="4">
        <item x="0"/>
        <item x="1"/>
        <item x="2"/>
        <item t="default"/>
      </items>
    </pivotField>
    <pivotField showAll="0"/>
    <pivotField showAll="0">
      <items count="4">
        <item x="0"/>
        <item x="2"/>
        <item x="1"/>
        <item t="default"/>
      </items>
    </pivotField>
    <pivotField showAll="0"/>
    <pivotField numFmtId="164" showAll="0"/>
    <pivotField numFmtId="164" showAll="0"/>
    <pivotField dataField="1" numFmtId="164" showAll="0"/>
    <pivotField numFmtId="164" showAll="0"/>
    <pivotField numFmtId="164"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1"/>
    </i>
    <i>
      <x v="2"/>
    </i>
    <i t="grand">
      <x/>
    </i>
  </rowItems>
  <colItems count="1">
    <i/>
  </colItems>
  <dataFields count="1">
    <dataField name="Sum of Sales Amount" fld="10" baseField="0" baseItem="0" numFmtId="164"/>
  </dataFields>
  <chartFormats count="8">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2" count="1" selected="0">
            <x v="0"/>
          </reference>
        </references>
      </pivotArea>
    </chartFormat>
    <chartFormat chart="12" format="10">
      <pivotArea type="data" outline="0" fieldPosition="0">
        <references count="2">
          <reference field="4294967294" count="1" selected="0">
            <x v="0"/>
          </reference>
          <reference field="2" count="1" selected="0">
            <x v="1"/>
          </reference>
        </references>
      </pivotArea>
    </chartFormat>
    <chartFormat chart="12" format="11">
      <pivotArea type="data" outline="0" fieldPosition="0">
        <references count="2">
          <reference field="4294967294" count="1" selected="0">
            <x v="0"/>
          </reference>
          <reference field="2" count="1" selected="0">
            <x v="2"/>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2" count="1" selected="0">
            <x v="0"/>
          </reference>
        </references>
      </pivotArea>
    </chartFormat>
    <chartFormat chart="17" format="18">
      <pivotArea type="data" outline="0" fieldPosition="0">
        <references count="2">
          <reference field="4294967294" count="1" selected="0">
            <x v="0"/>
          </reference>
          <reference field="2" count="1" selected="0">
            <x v="1"/>
          </reference>
        </references>
      </pivotArea>
    </chartFormat>
    <chartFormat chart="17" format="19">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DE42A1-583D-4433-8D1F-69D6076644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F13:H19" firstHeaderRow="0" firstDataRow="1" firstDataCol="1"/>
  <pivotFields count="16">
    <pivotField numFmtId="14" showAll="0">
      <items count="79">
        <item x="39"/>
        <item x="52"/>
        <item x="5"/>
        <item x="23"/>
        <item x="37"/>
        <item x="32"/>
        <item x="3"/>
        <item x="6"/>
        <item x="73"/>
        <item x="70"/>
        <item x="74"/>
        <item x="58"/>
        <item x="40"/>
        <item x="64"/>
        <item x="19"/>
        <item x="34"/>
        <item x="1"/>
        <item x="42"/>
        <item x="18"/>
        <item x="66"/>
        <item x="47"/>
        <item x="68"/>
        <item x="76"/>
        <item x="31"/>
        <item x="29"/>
        <item x="46"/>
        <item x="17"/>
        <item x="12"/>
        <item x="72"/>
        <item x="49"/>
        <item x="30"/>
        <item x="7"/>
        <item x="27"/>
        <item x="41"/>
        <item x="21"/>
        <item x="35"/>
        <item x="53"/>
        <item x="71"/>
        <item x="69"/>
        <item x="77"/>
        <item x="26"/>
        <item x="22"/>
        <item x="0"/>
        <item x="14"/>
        <item x="65"/>
        <item x="10"/>
        <item x="28"/>
        <item x="55"/>
        <item x="75"/>
        <item x="48"/>
        <item x="51"/>
        <item x="25"/>
        <item x="67"/>
        <item x="13"/>
        <item x="36"/>
        <item x="62"/>
        <item x="20"/>
        <item x="38"/>
        <item x="59"/>
        <item x="56"/>
        <item x="60"/>
        <item x="4"/>
        <item x="61"/>
        <item x="44"/>
        <item x="2"/>
        <item x="24"/>
        <item x="16"/>
        <item x="57"/>
        <item x="45"/>
        <item x="8"/>
        <item x="50"/>
        <item x="63"/>
        <item x="15"/>
        <item x="54"/>
        <item x="11"/>
        <item x="9"/>
        <item x="43"/>
        <item x="33"/>
        <item t="default"/>
      </items>
    </pivotField>
    <pivotField axis="axisRow" showAll="0">
      <items count="6">
        <item x="3"/>
        <item x="1"/>
        <item x="4"/>
        <item x="2"/>
        <item x="0"/>
        <item t="default"/>
      </items>
    </pivotField>
    <pivotField showAll="0">
      <items count="4">
        <item x="0"/>
        <item x="1"/>
        <item x="2"/>
        <item t="default"/>
      </items>
    </pivotField>
    <pivotField showAll="0">
      <items count="6">
        <item x="3"/>
        <item x="0"/>
        <item x="1"/>
        <item x="2"/>
        <item x="4"/>
        <item t="default"/>
      </items>
    </pivotField>
    <pivotField showAll="0">
      <items count="4">
        <item x="0"/>
        <item x="1"/>
        <item x="2"/>
        <item t="default"/>
      </items>
    </pivotField>
    <pivotField showAll="0"/>
    <pivotField showAll="0">
      <items count="4">
        <item x="0"/>
        <item x="2"/>
        <item x="1"/>
        <item t="default"/>
      </items>
    </pivotField>
    <pivotField showAll="0"/>
    <pivotField numFmtId="164" showAll="0"/>
    <pivotField numFmtId="164" showAll="0"/>
    <pivotField dataField="1" numFmtId="164" showAll="0"/>
    <pivotField numFmtId="164" showAll="0"/>
    <pivotField dataField="1" numFmtId="164"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Fields count="1">
    <field x="-2"/>
  </colFields>
  <colItems count="2">
    <i>
      <x/>
    </i>
    <i i="1">
      <x v="1"/>
    </i>
  </colItems>
  <dataFields count="2">
    <dataField name="Sum of Sales Amount" fld="10" baseField="0" baseItem="0" numFmtId="164"/>
    <dataField name="Sum of Profit" fld="12" baseField="0" baseItem="0" numFmtId="164"/>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70C49D-B420-47E0-B42F-3CD823F85A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MONTH">
  <location ref="A15:C22" firstHeaderRow="0" firstDataRow="1" firstDataCol="1"/>
  <pivotFields count="16">
    <pivotField axis="axisRow" numFmtId="14" showAll="0">
      <items count="79">
        <item x="39"/>
        <item x="52"/>
        <item x="5"/>
        <item x="23"/>
        <item x="37"/>
        <item x="32"/>
        <item x="3"/>
        <item x="6"/>
        <item x="73"/>
        <item x="70"/>
        <item x="74"/>
        <item x="58"/>
        <item x="40"/>
        <item x="64"/>
        <item x="19"/>
        <item x="34"/>
        <item x="1"/>
        <item x="42"/>
        <item x="18"/>
        <item x="66"/>
        <item x="47"/>
        <item x="68"/>
        <item x="76"/>
        <item x="31"/>
        <item x="29"/>
        <item x="46"/>
        <item x="17"/>
        <item x="12"/>
        <item x="72"/>
        <item x="49"/>
        <item x="30"/>
        <item x="7"/>
        <item x="27"/>
        <item x="41"/>
        <item x="21"/>
        <item x="35"/>
        <item x="53"/>
        <item x="71"/>
        <item x="69"/>
        <item x="77"/>
        <item x="26"/>
        <item x="22"/>
        <item x="0"/>
        <item x="14"/>
        <item x="65"/>
        <item x="10"/>
        <item x="28"/>
        <item x="55"/>
        <item x="75"/>
        <item x="48"/>
        <item x="51"/>
        <item x="25"/>
        <item x="67"/>
        <item x="13"/>
        <item x="36"/>
        <item x="62"/>
        <item x="20"/>
        <item x="38"/>
        <item x="59"/>
        <item x="56"/>
        <item x="60"/>
        <item x="4"/>
        <item x="61"/>
        <item x="44"/>
        <item x="2"/>
        <item x="24"/>
        <item x="16"/>
        <item x="57"/>
        <item x="45"/>
        <item x="8"/>
        <item x="50"/>
        <item x="63"/>
        <item x="15"/>
        <item x="54"/>
        <item x="11"/>
        <item x="9"/>
        <item x="43"/>
        <item x="33"/>
        <item t="default"/>
      </items>
    </pivotField>
    <pivotField showAll="0">
      <items count="6">
        <item x="3"/>
        <item x="1"/>
        <item x="4"/>
        <item x="2"/>
        <item x="0"/>
        <item t="default"/>
      </items>
    </pivotField>
    <pivotField showAll="0">
      <items count="4">
        <item x="0"/>
        <item x="1"/>
        <item x="2"/>
        <item t="default"/>
      </items>
    </pivotField>
    <pivotField showAll="0">
      <items count="6">
        <item x="3"/>
        <item x="0"/>
        <item x="1"/>
        <item x="2"/>
        <item x="4"/>
        <item t="default"/>
      </items>
    </pivotField>
    <pivotField showAll="0">
      <items count="4">
        <item x="0"/>
        <item x="1"/>
        <item x="2"/>
        <item t="default"/>
      </items>
    </pivotField>
    <pivotField showAll="0"/>
    <pivotField showAll="0">
      <items count="4">
        <item x="0"/>
        <item x="2"/>
        <item x="1"/>
        <item t="default"/>
      </items>
    </pivotField>
    <pivotField dataField="1" showAll="0"/>
    <pivotField numFmtId="164" showAll="0"/>
    <pivotField numFmtId="164" showAll="0"/>
    <pivotField dataField="1" numFmtId="164" showAll="0"/>
    <pivotField numFmtId="164" showAll="0"/>
    <pivotField numFmtId="164" showAll="0"/>
    <pivotField numFmtId="10"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0"/>
  </rowFields>
  <rowItems count="7">
    <i>
      <x v="1"/>
    </i>
    <i>
      <x v="2"/>
    </i>
    <i>
      <x v="3"/>
    </i>
    <i>
      <x v="4"/>
    </i>
    <i>
      <x v="5"/>
    </i>
    <i>
      <x v="6"/>
    </i>
    <i t="grand">
      <x/>
    </i>
  </rowItems>
  <colFields count="1">
    <field x="-2"/>
  </colFields>
  <colItems count="2">
    <i>
      <x/>
    </i>
    <i i="1">
      <x v="1"/>
    </i>
  </colItems>
  <dataFields count="2">
    <dataField name="Sum of Sales Amount" fld="10" baseField="0" baseItem="0" numFmtId="164"/>
    <dataField name="Sum of Units Sold" fld="7" baseField="0" baseItem="0"/>
  </dataFields>
  <chartFormats count="13">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1"/>
          </reference>
        </references>
      </pivotArea>
    </chartFormat>
    <chartFormat chart="24" format="10">
      <pivotArea type="data" outline="0" fieldPosition="0">
        <references count="2">
          <reference field="4294967294" count="1" selected="0">
            <x v="0"/>
          </reference>
          <reference field="15" count="1" selected="0">
            <x v="4"/>
          </reference>
        </references>
      </pivotArea>
    </chartFormat>
    <chartFormat chart="30" format="14" series="1">
      <pivotArea type="data" outline="0" fieldPosition="0">
        <references count="1">
          <reference field="4294967294" count="1" selected="0">
            <x v="0"/>
          </reference>
        </references>
      </pivotArea>
    </chartFormat>
    <chartFormat chart="30" format="15">
      <pivotArea type="data" outline="0" fieldPosition="0">
        <references count="2">
          <reference field="4294967294" count="1" selected="0">
            <x v="0"/>
          </reference>
          <reference field="15" count="1" selected="0">
            <x v="4"/>
          </reference>
        </references>
      </pivotArea>
    </chartFormat>
    <chartFormat chart="30" format="16" series="1">
      <pivotArea type="data" outline="0" fieldPosition="0">
        <references count="1">
          <reference field="4294967294" count="1" selected="0">
            <x v="1"/>
          </reference>
        </references>
      </pivotArea>
    </chartFormat>
    <chartFormat chart="30" format="17">
      <pivotArea type="data" outline="0" fieldPosition="0">
        <references count="2">
          <reference field="4294967294" count="1" selected="0">
            <x v="1"/>
          </reference>
          <reference field="15" count="1" selected="0">
            <x v="5"/>
          </reference>
        </references>
      </pivotArea>
    </chartFormat>
    <chartFormat chart="30" format="18">
      <pivotArea type="data" outline="0" fieldPosition="0">
        <references count="2">
          <reference field="4294967294" count="1" selected="0">
            <x v="1"/>
          </reference>
          <reference field="15" count="1" selected="0">
            <x v="6"/>
          </reference>
        </references>
      </pivotArea>
    </chartFormat>
    <chartFormat chart="30" format="19">
      <pivotArea type="data" outline="0" fieldPosition="0">
        <references count="2">
          <reference field="4294967294" count="1" selected="0">
            <x v="1"/>
          </reference>
          <reference field="15" count="1" selected="0">
            <x v="2"/>
          </reference>
        </references>
      </pivotArea>
    </chartFormat>
    <chartFormat chart="30" format="20">
      <pivotArea type="data" outline="0" fieldPosition="0">
        <references count="2">
          <reference field="4294967294" count="1" selected="0">
            <x v="1"/>
          </reference>
          <reference field="15" count="1" selected="0">
            <x v="3"/>
          </reference>
        </references>
      </pivotArea>
    </chartFormat>
    <chartFormat chart="30" format="21">
      <pivotArea type="data" outline="0" fieldPosition="0">
        <references count="2">
          <reference field="4294967294" count="1" selected="0">
            <x v="1"/>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18BDCC-60D8-4EFA-927B-0F2D64E05B9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OUNTRY">
  <location ref="A8:C12" firstHeaderRow="0" firstDataRow="1" firstDataCol="1"/>
  <pivotFields count="16">
    <pivotField numFmtId="14" showAll="0">
      <items count="79">
        <item x="39"/>
        <item x="52"/>
        <item x="5"/>
        <item x="23"/>
        <item x="37"/>
        <item x="32"/>
        <item x="3"/>
        <item x="6"/>
        <item x="73"/>
        <item x="70"/>
        <item x="74"/>
        <item x="58"/>
        <item x="40"/>
        <item x="64"/>
        <item x="19"/>
        <item x="34"/>
        <item x="1"/>
        <item x="42"/>
        <item x="18"/>
        <item x="66"/>
        <item x="47"/>
        <item x="68"/>
        <item x="76"/>
        <item x="31"/>
        <item x="29"/>
        <item x="46"/>
        <item x="17"/>
        <item x="12"/>
        <item x="72"/>
        <item x="49"/>
        <item x="30"/>
        <item x="7"/>
        <item x="27"/>
        <item x="41"/>
        <item x="21"/>
        <item x="35"/>
        <item x="53"/>
        <item x="71"/>
        <item x="69"/>
        <item x="77"/>
        <item x="26"/>
        <item x="22"/>
        <item x="0"/>
        <item x="14"/>
        <item x="65"/>
        <item x="10"/>
        <item x="28"/>
        <item x="55"/>
        <item x="75"/>
        <item x="48"/>
        <item x="51"/>
        <item x="25"/>
        <item x="67"/>
        <item x="13"/>
        <item x="36"/>
        <item x="62"/>
        <item x="20"/>
        <item x="38"/>
        <item x="59"/>
        <item x="56"/>
        <item x="60"/>
        <item x="4"/>
        <item x="61"/>
        <item x="44"/>
        <item x="2"/>
        <item x="24"/>
        <item x="16"/>
        <item x="57"/>
        <item x="45"/>
        <item x="8"/>
        <item x="50"/>
        <item x="63"/>
        <item x="15"/>
        <item x="54"/>
        <item x="11"/>
        <item x="9"/>
        <item x="43"/>
        <item x="33"/>
        <item t="default"/>
      </items>
    </pivotField>
    <pivotField showAll="0">
      <items count="6">
        <item x="3"/>
        <item x="1"/>
        <item x="4"/>
        <item x="2"/>
        <item x="0"/>
        <item t="default"/>
      </items>
    </pivotField>
    <pivotField showAll="0">
      <items count="4">
        <item x="0"/>
        <item x="1"/>
        <item x="2"/>
        <item t="default"/>
      </items>
    </pivotField>
    <pivotField showAll="0">
      <items count="6">
        <item x="3"/>
        <item x="0"/>
        <item x="1"/>
        <item x="2"/>
        <item x="4"/>
        <item t="default"/>
      </items>
    </pivotField>
    <pivotField axis="axisRow" showAll="0">
      <items count="4">
        <item x="0"/>
        <item x="1"/>
        <item x="2"/>
        <item t="default"/>
      </items>
    </pivotField>
    <pivotField showAll="0"/>
    <pivotField showAll="0">
      <items count="4">
        <item x="0"/>
        <item x="2"/>
        <item x="1"/>
        <item t="default"/>
      </items>
    </pivotField>
    <pivotField showAll="0"/>
    <pivotField numFmtId="164" showAll="0"/>
    <pivotField numFmtId="164" showAll="0"/>
    <pivotField dataField="1" numFmtId="164" showAll="0"/>
    <pivotField numFmtId="164" showAll="0"/>
    <pivotField dataField="1" numFmtId="164"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i>
    <i>
      <x v="1"/>
    </i>
    <i>
      <x v="2"/>
    </i>
    <i t="grand">
      <x/>
    </i>
  </rowItems>
  <colFields count="1">
    <field x="-2"/>
  </colFields>
  <colItems count="2">
    <i>
      <x/>
    </i>
    <i i="1">
      <x v="1"/>
    </i>
  </colItems>
  <dataFields count="2">
    <dataField name="Sum of Profit" fld="12" baseField="0" baseItem="0" numFmtId="164"/>
    <dataField name="Sum of Sales Amount" fld="10" baseField="0" baseItem="0" numFmtId="164"/>
  </dataFields>
  <chartFormats count="6">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0"/>
          </reference>
          <reference field="4" count="1" selected="0">
            <x v="1"/>
          </reference>
        </references>
      </pivotArea>
    </chartFormat>
    <chartFormat chart="5" format="7">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DB5A39-E2FF-4A46-A5AA-E526E24FD95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SALES TYPE">
  <location ref="J25:K29" firstHeaderRow="1" firstDataRow="1" firstDataCol="1"/>
  <pivotFields count="16">
    <pivotField numFmtId="14" showAll="0">
      <items count="79">
        <item x="39"/>
        <item x="52"/>
        <item x="5"/>
        <item x="23"/>
        <item x="37"/>
        <item x="32"/>
        <item x="3"/>
        <item x="6"/>
        <item x="73"/>
        <item x="70"/>
        <item x="74"/>
        <item x="58"/>
        <item x="40"/>
        <item x="64"/>
        <item x="19"/>
        <item x="34"/>
        <item x="1"/>
        <item x="42"/>
        <item x="18"/>
        <item x="66"/>
        <item x="47"/>
        <item x="68"/>
        <item x="76"/>
        <item x="31"/>
        <item x="29"/>
        <item x="46"/>
        <item x="17"/>
        <item x="12"/>
        <item x="72"/>
        <item x="49"/>
        <item x="30"/>
        <item x="7"/>
        <item x="27"/>
        <item x="41"/>
        <item x="21"/>
        <item x="35"/>
        <item x="53"/>
        <item x="71"/>
        <item x="69"/>
        <item x="77"/>
        <item x="26"/>
        <item x="22"/>
        <item x="0"/>
        <item x="14"/>
        <item x="65"/>
        <item x="10"/>
        <item x="28"/>
        <item x="55"/>
        <item x="75"/>
        <item x="48"/>
        <item x="51"/>
        <item x="25"/>
        <item x="67"/>
        <item x="13"/>
        <item x="36"/>
        <item x="62"/>
        <item x="20"/>
        <item x="38"/>
        <item x="59"/>
        <item x="56"/>
        <item x="60"/>
        <item x="4"/>
        <item x="61"/>
        <item x="44"/>
        <item x="2"/>
        <item x="24"/>
        <item x="16"/>
        <item x="57"/>
        <item x="45"/>
        <item x="8"/>
        <item x="50"/>
        <item x="63"/>
        <item x="15"/>
        <item x="54"/>
        <item x="11"/>
        <item x="9"/>
        <item x="43"/>
        <item x="33"/>
        <item t="default"/>
      </items>
    </pivotField>
    <pivotField showAll="0">
      <items count="6">
        <item x="3"/>
        <item x="1"/>
        <item x="4"/>
        <item x="2"/>
        <item x="0"/>
        <item t="default"/>
      </items>
    </pivotField>
    <pivotField showAll="0">
      <items count="4">
        <item x="0"/>
        <item x="1"/>
        <item x="2"/>
        <item t="default"/>
      </items>
    </pivotField>
    <pivotField showAll="0">
      <items count="6">
        <item x="3"/>
        <item x="0"/>
        <item x="1"/>
        <item x="2"/>
        <item x="4"/>
        <item t="default"/>
      </items>
    </pivotField>
    <pivotField showAll="0">
      <items count="4">
        <item x="0"/>
        <item x="1"/>
        <item x="2"/>
        <item t="default"/>
      </items>
    </pivotField>
    <pivotField axis="axisRow" showAll="0">
      <items count="4">
        <item x="2"/>
        <item x="0"/>
        <item x="1"/>
        <item t="default"/>
      </items>
    </pivotField>
    <pivotField showAll="0">
      <items count="4">
        <item x="0"/>
        <item x="2"/>
        <item x="1"/>
        <item t="default"/>
      </items>
    </pivotField>
    <pivotField showAll="0"/>
    <pivotField numFmtId="164" showAll="0"/>
    <pivotField numFmtId="164" showAll="0"/>
    <pivotField dataField="1" numFmtId="164" showAll="0"/>
    <pivotField numFmtId="164" showAll="0"/>
    <pivotField numFmtId="164"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i>
    <i>
      <x v="1"/>
    </i>
    <i>
      <x v="2"/>
    </i>
    <i t="grand">
      <x/>
    </i>
  </rowItems>
  <colItems count="1">
    <i/>
  </colItems>
  <dataFields count="1">
    <dataField name="Sum of Sales Amount" fld="10" baseField="0" baseItem="0" numFmtId="164"/>
  </dataFields>
  <chartFormats count="5">
    <chartFormat chart="2"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5" count="1" selected="0">
            <x v="0"/>
          </reference>
        </references>
      </pivotArea>
    </chartFormat>
    <chartFormat chart="11" format="6">
      <pivotArea type="data" outline="0" fieldPosition="0">
        <references count="2">
          <reference field="4294967294" count="1" selected="0">
            <x v="0"/>
          </reference>
          <reference field="5" count="1" selected="0">
            <x v="1"/>
          </reference>
        </references>
      </pivotArea>
    </chartFormat>
    <chartFormat chart="11" format="7">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9BAEF4-3DEB-4415-89DB-9424BC054C6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SALESPERSON">
  <location ref="J7:K13" firstHeaderRow="1" firstDataRow="1" firstDataCol="1"/>
  <pivotFields count="16">
    <pivotField numFmtId="14" showAll="0">
      <items count="79">
        <item x="39"/>
        <item x="52"/>
        <item x="5"/>
        <item x="23"/>
        <item x="37"/>
        <item x="32"/>
        <item x="3"/>
        <item x="6"/>
        <item x="73"/>
        <item x="70"/>
        <item x="74"/>
        <item x="58"/>
        <item x="40"/>
        <item x="64"/>
        <item x="19"/>
        <item x="34"/>
        <item x="1"/>
        <item x="42"/>
        <item x="18"/>
        <item x="66"/>
        <item x="47"/>
        <item x="68"/>
        <item x="76"/>
        <item x="31"/>
        <item x="29"/>
        <item x="46"/>
        <item x="17"/>
        <item x="12"/>
        <item x="72"/>
        <item x="49"/>
        <item x="30"/>
        <item x="7"/>
        <item x="27"/>
        <item x="41"/>
        <item x="21"/>
        <item x="35"/>
        <item x="53"/>
        <item x="71"/>
        <item x="69"/>
        <item x="77"/>
        <item x="26"/>
        <item x="22"/>
        <item x="0"/>
        <item x="14"/>
        <item x="65"/>
        <item x="10"/>
        <item x="28"/>
        <item x="55"/>
        <item x="75"/>
        <item x="48"/>
        <item x="51"/>
        <item x="25"/>
        <item x="67"/>
        <item x="13"/>
        <item x="36"/>
        <item x="62"/>
        <item x="20"/>
        <item x="38"/>
        <item x="59"/>
        <item x="56"/>
        <item x="60"/>
        <item x="4"/>
        <item x="61"/>
        <item x="44"/>
        <item x="2"/>
        <item x="24"/>
        <item x="16"/>
        <item x="57"/>
        <item x="45"/>
        <item x="8"/>
        <item x="50"/>
        <item x="63"/>
        <item x="15"/>
        <item x="54"/>
        <item x="11"/>
        <item x="9"/>
        <item x="43"/>
        <item x="33"/>
        <item t="default"/>
      </items>
    </pivotField>
    <pivotField showAll="0">
      <items count="6">
        <item x="3"/>
        <item x="1"/>
        <item x="4"/>
        <item x="2"/>
        <item x="0"/>
        <item t="default"/>
      </items>
    </pivotField>
    <pivotField showAll="0">
      <items count="4">
        <item x="0"/>
        <item x="1"/>
        <item x="2"/>
        <item t="default"/>
      </items>
    </pivotField>
    <pivotField axis="axisRow" showAll="0">
      <items count="6">
        <item x="3"/>
        <item x="0"/>
        <item x="1"/>
        <item x="2"/>
        <item x="4"/>
        <item t="default"/>
      </items>
    </pivotField>
    <pivotField showAll="0">
      <items count="4">
        <item x="0"/>
        <item x="1"/>
        <item x="2"/>
        <item t="default"/>
      </items>
    </pivotField>
    <pivotField showAll="0"/>
    <pivotField showAll="0">
      <items count="4">
        <item x="0"/>
        <item x="2"/>
        <item x="1"/>
        <item t="default"/>
      </items>
    </pivotField>
    <pivotField showAll="0"/>
    <pivotField numFmtId="164" showAll="0"/>
    <pivotField numFmtId="164" showAll="0"/>
    <pivotField dataField="1" numFmtId="164" showAll="0"/>
    <pivotField numFmtId="164" showAll="0"/>
    <pivotField numFmtId="164"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Items count="1">
    <i/>
  </colItems>
  <dataFields count="1">
    <dataField name="Sum of Sales Amount" fld="10" baseField="0" baseItem="0" numFmtId="164"/>
  </dataFields>
  <chartFormats count="2">
    <chartFormat chart="4"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40BCF6-AC0E-4EBD-837A-EA56771B6D5B}" name="TRANS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4" firstHeaderRow="0" firstDataRow="1" firstDataCol="0"/>
  <pivotFields count="16">
    <pivotField showAll="0">
      <items count="79">
        <item x="39"/>
        <item x="52"/>
        <item x="5"/>
        <item x="23"/>
        <item x="37"/>
        <item x="32"/>
        <item x="3"/>
        <item x="6"/>
        <item x="73"/>
        <item x="70"/>
        <item x="74"/>
        <item x="58"/>
        <item x="40"/>
        <item x="64"/>
        <item x="19"/>
        <item x="34"/>
        <item x="1"/>
        <item x="42"/>
        <item x="18"/>
        <item x="66"/>
        <item x="47"/>
        <item x="68"/>
        <item x="76"/>
        <item x="31"/>
        <item x="29"/>
        <item x="46"/>
        <item x="17"/>
        <item x="12"/>
        <item x="72"/>
        <item x="49"/>
        <item x="30"/>
        <item x="7"/>
        <item x="27"/>
        <item x="41"/>
        <item x="21"/>
        <item x="35"/>
        <item x="53"/>
        <item x="71"/>
        <item x="69"/>
        <item x="77"/>
        <item x="26"/>
        <item x="22"/>
        <item x="0"/>
        <item x="14"/>
        <item x="65"/>
        <item x="10"/>
        <item x="28"/>
        <item x="55"/>
        <item x="75"/>
        <item x="48"/>
        <item x="51"/>
        <item x="25"/>
        <item x="67"/>
        <item x="13"/>
        <item x="36"/>
        <item x="62"/>
        <item x="20"/>
        <item x="38"/>
        <item x="59"/>
        <item x="56"/>
        <item x="60"/>
        <item x="4"/>
        <item x="61"/>
        <item x="44"/>
        <item x="2"/>
        <item x="24"/>
        <item x="16"/>
        <item x="57"/>
        <item x="45"/>
        <item x="8"/>
        <item x="50"/>
        <item x="63"/>
        <item x="15"/>
        <item x="54"/>
        <item x="11"/>
        <item x="9"/>
        <item x="43"/>
        <item x="33"/>
        <item t="default"/>
      </items>
    </pivotField>
    <pivotField dataField="1" showAll="0">
      <items count="6">
        <item x="3"/>
        <item x="1"/>
        <item x="4"/>
        <item x="2"/>
        <item x="0"/>
        <item t="default"/>
      </items>
    </pivotField>
    <pivotField showAll="0">
      <items count="4">
        <item x="0"/>
        <item x="1"/>
        <item x="2"/>
        <item t="default"/>
      </items>
    </pivotField>
    <pivotField showAll="0">
      <items count="6">
        <item x="3"/>
        <item x="0"/>
        <item x="1"/>
        <item x="2"/>
        <item x="4"/>
        <item t="default"/>
      </items>
    </pivotField>
    <pivotField showAll="0">
      <items count="4">
        <item x="0"/>
        <item x="1"/>
        <item x="2"/>
        <item t="default"/>
      </items>
    </pivotField>
    <pivotField showAll="0"/>
    <pivotField showAll="0">
      <items count="4">
        <item x="0"/>
        <item x="2"/>
        <item x="1"/>
        <item t="default"/>
      </items>
    </pivotField>
    <pivotField dataField="1" showAll="0"/>
    <pivotField numFmtId="164" showAll="0"/>
    <pivotField numFmtId="164" showAll="0"/>
    <pivotField dataField="1" numFmtId="164" showAll="0"/>
    <pivotField numFmtId="164" showAll="0"/>
    <pivotField dataField="1" numFmtId="164" showAll="0"/>
    <pivotField numFmtId="10"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Sales Amount" fld="10" baseField="0" baseItem="0" numFmtId="164"/>
    <dataField name="Count of Product" fld="1" subtotal="count" baseField="0" baseItem="0"/>
    <dataField name="Sum of Profit" fld="12" baseField="0" baseItem="0" numFmtId="164"/>
    <dataField name="Sum of Units 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7E3C4B8-809D-4E54-8087-59A559CF8B5F}" sourceName="Product">
  <pivotTables>
    <pivotTable tabId="2" name="PivotTable4"/>
    <pivotTable tabId="2" name="PivotTable3"/>
    <pivotTable tabId="2" name="PivotTable5"/>
    <pivotTable tabId="2" name="PivotTable6"/>
    <pivotTable tabId="2" name="PivotTable7"/>
    <pivotTable tabId="2" name="PivotTable8"/>
    <pivotTable tabId="2" name="PivotTable9"/>
    <pivotTable tabId="2" name="TRANSACTION"/>
    <pivotTable tabId="6" name="PivotTable1"/>
    <pivotTable tabId="6" name="PivotTable2"/>
  </pivotTables>
  <data>
    <tabular pivotCacheId="688263506">
      <items count="5">
        <i x="3" s="1"/>
        <i x="1"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C64B1CF-3C46-424A-9F76-B3B5428B87C0}" sourceName="Category">
  <pivotTables>
    <pivotTable tabId="2" name="PivotTable4"/>
    <pivotTable tabId="2" name="PivotTable3"/>
    <pivotTable tabId="2" name="PivotTable5"/>
    <pivotTable tabId="2" name="PivotTable6"/>
    <pivotTable tabId="2" name="PivotTable7"/>
    <pivotTable tabId="2" name="PivotTable8"/>
    <pivotTable tabId="2" name="PivotTable9"/>
    <pivotTable tabId="2" name="TRANSACTION"/>
    <pivotTable tabId="6" name="PivotTable1"/>
    <pivotTable tabId="6" name="PivotTable2"/>
  </pivotTables>
  <data>
    <tabular pivotCacheId="68826350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D38EE25-79CA-4B0C-A52B-FEB8ABF90C00}" sourceName="Salesperson">
  <pivotTables>
    <pivotTable tabId="2" name="PivotTable4"/>
    <pivotTable tabId="2" name="PivotTable3"/>
    <pivotTable tabId="2" name="PivotTable5"/>
    <pivotTable tabId="2" name="PivotTable6"/>
    <pivotTable tabId="2" name="PivotTable7"/>
    <pivotTable tabId="2" name="PivotTable8"/>
    <pivotTable tabId="2" name="PivotTable9"/>
    <pivotTable tabId="2" name="TRANSACTION"/>
    <pivotTable tabId="6" name="PivotTable1"/>
    <pivotTable tabId="6" name="PivotTable2"/>
  </pivotTables>
  <data>
    <tabular pivotCacheId="688263506">
      <items count="5">
        <i x="3" s="1"/>
        <i x="0" s="1"/>
        <i x="1"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E9A946B-8019-49AC-94AC-F5DEC402245E}" sourceName="Country">
  <pivotTables>
    <pivotTable tabId="2" name="PivotTable4"/>
    <pivotTable tabId="2" name="PivotTable3"/>
    <pivotTable tabId="2" name="PivotTable5"/>
    <pivotTable tabId="2" name="PivotTable6"/>
    <pivotTable tabId="2" name="PivotTable7"/>
    <pivotTable tabId="2" name="PivotTable8"/>
    <pivotTable tabId="2" name="PivotTable9"/>
    <pivotTable tabId="2" name="TRANSACTION"/>
    <pivotTable tabId="6" name="PivotTable1"/>
    <pivotTable tabId="6" name="PivotTable2"/>
  </pivotTables>
  <data>
    <tabular pivotCacheId="688263506">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48C68E0-A7E3-4672-8C5A-0629E437379C}" sourceName="Payment Mode">
  <pivotTables>
    <pivotTable tabId="2" name="PivotTable4"/>
    <pivotTable tabId="2" name="PivotTable3"/>
    <pivotTable tabId="2" name="PivotTable5"/>
    <pivotTable tabId="2" name="PivotTable6"/>
    <pivotTable tabId="2" name="PivotTable7"/>
    <pivotTable tabId="2" name="PivotTable8"/>
    <pivotTable tabId="2" name="PivotTable9"/>
    <pivotTable tabId="2" name="TRANSACTION"/>
    <pivotTable tabId="6" name="PivotTable1"/>
    <pivotTable tabId="6" name="PivotTable2"/>
  </pivotTables>
  <data>
    <tabular pivotCacheId="688263506">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255CDBCD-9A66-4DF2-83DE-0A0054E63FDB}" sourceName="Months (Date)">
  <pivotTables>
    <pivotTable tabId="2" name="PivotTable3"/>
    <pivotTable tabId="2" name="PivotTable4"/>
    <pivotTable tabId="2" name="PivotTable5"/>
    <pivotTable tabId="2" name="PivotTable6"/>
    <pivotTable tabId="2" name="PivotTable7"/>
    <pivotTable tabId="2" name="PivotTable8"/>
    <pivotTable tabId="2" name="PivotTable9"/>
    <pivotTable tabId="2" name="TRANSACTION"/>
    <pivotTable tabId="6" name="PivotTable1"/>
    <pivotTable tabId="6" name="PivotTable2"/>
  </pivotTables>
  <data>
    <tabular pivotCacheId="688263506">
      <items count="14">
        <i x="1" s="1"/>
        <i x="2" s="1"/>
        <i x="3" s="1"/>
        <i x="4" s="1"/>
        <i x="5" s="1"/>
        <i x="6" s="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A95C27FB-07C6-4FE1-8BEB-9A596BD0BE5A}" cache="Slicer_Product" caption="Product" columnCount="3" style="SlicerStyleDark4" rowHeight="396000"/>
  <slicer name="Category 1" xr10:uid="{1D36FE3E-CB74-404A-ABD7-1D61ADC275FE}" cache="Slicer_Category" caption="Category" columnCount="3" style="SlicerStyleDark4" rowHeight="396000"/>
  <slicer name="Salesperson 1" xr10:uid="{A2DBCE2A-B627-4879-A9AB-7017A5E6F80F}" cache="Slicer_Salesperson" caption="Salesperson" style="SlicerStyleDark4" rowHeight="216000"/>
  <slicer name="Country 1" xr10:uid="{77DC9A56-1E39-4887-B923-BE3825014183}" cache="Slicer_Country" caption="Country" columnCount="3" style="SlicerStyleDark4" rowHeight="396000"/>
  <slicer name="Payment Mode 1" xr10:uid="{4DDB0959-4BBE-421A-8722-18392D99A5EF}" cache="Slicer_Payment_Mode" caption="Payment Mode" columnCount="3" style="SlicerStyleDark4" rowHeight="468000"/>
  <slicer name="Months  1" xr10:uid="{0A5F164B-CF96-481D-B177-7C7066A971C0}" cache="Slicer_Months__Date" caption="Months " columnCount="4" style="SlicerStyleDark4"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2962A07-04E2-4BE7-9275-CA92D7F067AE}" cache="Slicer_Product" caption="Product" style="SlicerStyleDark4" rowHeight="396000"/>
  <slicer name="Category" xr10:uid="{9432C5F1-9F9F-4AD4-AA44-88509333F177}" cache="Slicer_Category" caption="Category" columnCount="3" style="SlicerStyleDark4" rowHeight="468000"/>
  <slicer name="Salesperson" xr10:uid="{55FA4F5B-F3B9-4752-99B9-0FE24F08C1DC}" cache="Slicer_Salesperson" caption="Salesperson" style="SlicerStyleDark4" rowHeight="396000"/>
  <slicer name="Country" xr10:uid="{02E654E0-5CE8-456A-A7AB-921E1C33D7C9}" cache="Slicer_Country" caption="Country" columnCount="3" style="SlicerStyleDark4" rowHeight="396000"/>
  <slicer name="Payment Mode" xr10:uid="{31FE6596-1C6C-4DDC-A653-0EF71D50C153}" cache="Slicer_Payment_Mode" caption="Payment Mode" columnCount="3" style="SlicerStyleDark4" rowHeight="468000"/>
  <slicer name="Months " xr10:uid="{0CA3CA98-18D6-4998-ACE9-D6186F7200B4}" cache="Slicer_Months__Date" caption="Months " columnCount="6" style="SlicerStyleDark4"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884293-E2EE-479C-9D26-12ED05FB535E}" name="Table1" displayName="Table1" ref="A1:N112" totalsRowShown="0" headerRowDxfId="8" headerRowBorderDxfId="7" tableBorderDxfId="6">
  <autoFilter ref="A1:N112" xr:uid="{C1884293-E2EE-479C-9D26-12ED05FB535E}"/>
  <tableColumns count="14">
    <tableColumn id="1" xr3:uid="{C424826C-C64F-4FC4-8693-91CB0516D462}" name="Date"/>
    <tableColumn id="2" xr3:uid="{AA384DDA-6FA7-449C-849D-924113EE4D30}" name="Product"/>
    <tableColumn id="3" xr3:uid="{017315AD-BC82-4615-9678-DE9E7220C558}" name="Category"/>
    <tableColumn id="4" xr3:uid="{D8D7A689-01C6-48A8-836E-B2017F9678F3}" name="Salesperson"/>
    <tableColumn id="5" xr3:uid="{FD3A2868-359E-48D7-A3BA-E2156E8C032F}" name="Country"/>
    <tableColumn id="6" xr3:uid="{CA42A49F-C194-4C75-A73F-AF85882E362A}" name="Sales Type"/>
    <tableColumn id="7" xr3:uid="{AF5DFE07-8C78-4E5B-BC80-F2C97FCF3B16}" name="Payment Mode"/>
    <tableColumn id="8" xr3:uid="{3FC09B8C-40F1-46A0-AF9C-57F029241C7C}" name="Units Sold"/>
    <tableColumn id="9" xr3:uid="{CDC24E65-F008-4016-987F-C28239A5ED62}" name="S.P / UNIT" dataDxfId="5"/>
    <tableColumn id="10" xr3:uid="{86A219EF-5862-463A-82A0-74FF36D8D01E}" name="C.P / UNIT" dataDxfId="4"/>
    <tableColumn id="11" xr3:uid="{CBC41487-F6DA-4B9E-B8CF-BADBD4842174}" name="Sales Amount" dataDxfId="3">
      <calculatedColumnFormula>Table1[[#This Row],[S.P / UNIT]]*Table1[[#This Row],[Units Sold]]</calculatedColumnFormula>
    </tableColumn>
    <tableColumn id="12" xr3:uid="{9441592A-CEE1-4ACF-89F1-CAA169CAB7D0}" name="TOTAL COST WHEN BOUGHT" dataDxfId="2">
      <calculatedColumnFormula>Table1[[#This Row],[C.P / UNIT]]*Table1[[#This Row],[Units Sold]]</calculatedColumnFormula>
    </tableColumn>
    <tableColumn id="13" xr3:uid="{D98E6CC9-BD7F-48FD-9BE4-A7F3C5561A99}" name="Profit" dataDxfId="1">
      <calculatedColumnFormula>Table1[[#This Row],[Sales Amount]]-Table1[[#This Row],[TOTAL COST WHEN BOUGHT]]</calculatedColumnFormula>
    </tableColumn>
    <tableColumn id="14" xr3:uid="{49B44846-B425-42D4-BE39-4F450966753D}" name="Profit %" dataDxfId="0">
      <calculatedColumnFormula>Table1[[#This Row],[Profit]]/Table1[[#This Row],[Sales Amount]]</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microsoft.com/office/2007/relationships/slicer" Target="../slicers/slicer2.xml"/><Relationship Id="rId4" Type="http://schemas.openxmlformats.org/officeDocument/2006/relationships/pivotTable" Target="../pivotTables/pivotTable6.xml"/><Relationship Id="rId9"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0F9FA-231C-4E68-85D0-FD1B3B3178D5}">
  <sheetPr codeName="Sheet2"/>
  <dimension ref="A1"/>
  <sheetViews>
    <sheetView showGridLines="0" showRowColHeaders="0" tabSelected="1" zoomScale="98" zoomScaleNormal="100" workbookViewId="0">
      <selection activeCell="M49" sqref="M4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E3EAA-18A6-4D76-A084-F1F81CB6DF82}">
  <dimension ref="A1:F23"/>
  <sheetViews>
    <sheetView workbookViewId="0">
      <selection activeCell="F18" sqref="F18"/>
    </sheetView>
  </sheetViews>
  <sheetFormatPr defaultRowHeight="14.4" x14ac:dyDescent="0.3"/>
  <cols>
    <col min="1" max="1" width="11.44140625" bestFit="1" customWidth="1"/>
    <col min="2" max="2" width="19.21875" bestFit="1" customWidth="1"/>
    <col min="3" max="3" width="12.109375" bestFit="1" customWidth="1"/>
    <col min="5" max="5" width="10.77734375" bestFit="1" customWidth="1"/>
    <col min="6" max="6" width="46.77734375" bestFit="1" customWidth="1"/>
  </cols>
  <sheetData>
    <row r="1" spans="1:6" x14ac:dyDescent="0.3">
      <c r="A1" s="5" t="s">
        <v>50</v>
      </c>
      <c r="B1" t="s">
        <v>36</v>
      </c>
      <c r="E1" s="9" t="s">
        <v>47</v>
      </c>
      <c r="F1" s="9" t="s">
        <v>36</v>
      </c>
    </row>
    <row r="2" spans="1:6" x14ac:dyDescent="0.3">
      <c r="A2" s="6" t="s">
        <v>22</v>
      </c>
      <c r="B2" s="4">
        <v>2980118</v>
      </c>
      <c r="E2" s="10" t="s">
        <v>41</v>
      </c>
      <c r="F2" s="11">
        <v>1512740</v>
      </c>
    </row>
    <row r="3" spans="1:6" x14ac:dyDescent="0.3">
      <c r="A3" s="6" t="s">
        <v>19</v>
      </c>
      <c r="B3" s="4">
        <v>703258</v>
      </c>
      <c r="E3" s="10" t="s">
        <v>42</v>
      </c>
      <c r="F3" s="11">
        <v>1724594</v>
      </c>
    </row>
    <row r="4" spans="1:6" x14ac:dyDescent="0.3">
      <c r="A4" s="6" t="s">
        <v>20</v>
      </c>
      <c r="B4" s="4">
        <v>1401021</v>
      </c>
      <c r="E4" s="10" t="s">
        <v>43</v>
      </c>
      <c r="F4" s="11">
        <v>1543096</v>
      </c>
    </row>
    <row r="5" spans="1:6" x14ac:dyDescent="0.3">
      <c r="A5" s="6" t="s">
        <v>21</v>
      </c>
      <c r="B5" s="4">
        <v>1121219</v>
      </c>
      <c r="E5" s="10" t="s">
        <v>44</v>
      </c>
      <c r="F5" s="11">
        <v>1058343</v>
      </c>
    </row>
    <row r="6" spans="1:6" x14ac:dyDescent="0.3">
      <c r="A6" s="6" t="s">
        <v>23</v>
      </c>
      <c r="B6" s="4">
        <v>3966113</v>
      </c>
      <c r="E6" s="10" t="s">
        <v>45</v>
      </c>
      <c r="F6" s="11">
        <v>3700495</v>
      </c>
    </row>
    <row r="7" spans="1:6" x14ac:dyDescent="0.3">
      <c r="A7" s="6" t="s">
        <v>40</v>
      </c>
      <c r="B7" s="4">
        <v>10171729</v>
      </c>
      <c r="E7" s="10" t="s">
        <v>46</v>
      </c>
      <c r="F7" s="11">
        <v>486141</v>
      </c>
    </row>
    <row r="8" spans="1:6" x14ac:dyDescent="0.3">
      <c r="E8" s="12" t="s">
        <v>40</v>
      </c>
      <c r="F8" s="13">
        <v>10025409</v>
      </c>
    </row>
    <row r="9" spans="1:6" x14ac:dyDescent="0.3">
      <c r="A9" s="6" t="s">
        <v>58</v>
      </c>
      <c r="B9" s="4">
        <f>MAX(B2:B6)</f>
        <v>3966113</v>
      </c>
    </row>
    <row r="10" spans="1:6" x14ac:dyDescent="0.3">
      <c r="A10" s="6" t="s">
        <v>59</v>
      </c>
      <c r="B10" t="str">
        <f>INDEX(A2:A6, MATCH(MAX(B2:B6), B2:B6, 0))</f>
        <v>Sneha</v>
      </c>
      <c r="E10" s="14" t="s">
        <v>62</v>
      </c>
      <c r="F10" s="4">
        <f>MAX(F2:F7)</f>
        <v>3700495</v>
      </c>
    </row>
    <row r="11" spans="1:6" x14ac:dyDescent="0.3">
      <c r="A11" s="6" t="s">
        <v>60</v>
      </c>
      <c r="B11" t="str">
        <f>"Top Salesperson: " &amp; INDEX(A2:A6, MATCH(MAX(B2:B6), B2:B6, 0)) &amp; " (₹" &amp; MAX(B2:B6) &amp; ")"</f>
        <v>Top Salesperson: Sneha (₹3966113)</v>
      </c>
      <c r="E11" s="14" t="s">
        <v>59</v>
      </c>
      <c r="F11" t="str">
        <f>INDEX(E2:E7, MATCH(MAX(F2:F7), F2:F7, 0))</f>
        <v>May</v>
      </c>
    </row>
    <row r="12" spans="1:6" x14ac:dyDescent="0.3">
      <c r="E12" s="14" t="s">
        <v>61</v>
      </c>
      <c r="F12" t="str">
        <f>"HIGHEST SALES MONTH : " &amp; INDEX(E2:E7, MATCH(MAX(F2:F7), F2:F7, 0)) &amp; " (₹" &amp; MAX(F2:F7) &amp; ")"</f>
        <v>HIGHEST SALES MONTH : May (₹3700495)</v>
      </c>
    </row>
    <row r="13" spans="1:6" x14ac:dyDescent="0.3">
      <c r="A13" s="5" t="s">
        <v>49</v>
      </c>
      <c r="B13" t="s">
        <v>36</v>
      </c>
      <c r="C13" t="s">
        <v>37</v>
      </c>
    </row>
    <row r="14" spans="1:6" x14ac:dyDescent="0.3">
      <c r="A14" s="6" t="s">
        <v>14</v>
      </c>
      <c r="B14" s="4">
        <v>1913232</v>
      </c>
      <c r="C14" s="4">
        <v>543237</v>
      </c>
    </row>
    <row r="15" spans="1:6" x14ac:dyDescent="0.3">
      <c r="A15" s="6" t="s">
        <v>12</v>
      </c>
      <c r="B15" s="4">
        <v>2214361</v>
      </c>
      <c r="C15" s="4">
        <v>635018</v>
      </c>
    </row>
    <row r="16" spans="1:6" x14ac:dyDescent="0.3">
      <c r="A16" s="6" t="s">
        <v>15</v>
      </c>
      <c r="B16" s="4">
        <v>1591883</v>
      </c>
      <c r="C16" s="4">
        <v>489554</v>
      </c>
    </row>
    <row r="17" spans="1:6" x14ac:dyDescent="0.3">
      <c r="A17" s="6" t="s">
        <v>13</v>
      </c>
      <c r="B17" s="4">
        <v>1589551</v>
      </c>
      <c r="C17" s="4">
        <v>428244</v>
      </c>
    </row>
    <row r="18" spans="1:6" x14ac:dyDescent="0.3">
      <c r="A18" s="6" t="s">
        <v>11</v>
      </c>
      <c r="B18" s="4">
        <v>2862702</v>
      </c>
      <c r="C18" s="4">
        <v>685065</v>
      </c>
      <c r="F18" t="str">
        <f>" Sales peaked in " &amp; F11 &amp;
", driven by " &amp; B22&amp;
" and led by " &amp; B10</f>
        <v xml:space="preserve"> Sales peaked in May, driven by Watch and led by Sneha</v>
      </c>
    </row>
    <row r="19" spans="1:6" x14ac:dyDescent="0.3">
      <c r="A19" s="6" t="s">
        <v>40</v>
      </c>
      <c r="B19" s="4">
        <v>10171729</v>
      </c>
      <c r="C19" s="4">
        <v>2781118</v>
      </c>
    </row>
    <row r="20" spans="1:6" x14ac:dyDescent="0.3">
      <c r="F20" t="str">
        <f>IFERROR(
IF((F7-F6)/F6&gt;0,
"↑ Grew by " &amp; TEXT((F7-F6)/F6,"0%") &amp; " in " &amp; E7,
"↓ Declined by " &amp; TEXT(ABS((F7-F6)/F6),"0%") &amp; " in " &amp; E7
),
""
)</f>
        <v>↓ Declined by 87% in Jun</v>
      </c>
    </row>
    <row r="21" spans="1:6" x14ac:dyDescent="0.3">
      <c r="A21" s="6" t="s">
        <v>58</v>
      </c>
      <c r="B21" s="4">
        <f>MAX(B14:B18)</f>
        <v>2862702</v>
      </c>
    </row>
    <row r="22" spans="1:6" x14ac:dyDescent="0.3">
      <c r="A22" s="6" t="s">
        <v>59</v>
      </c>
      <c r="B22" t="str">
        <f>INDEX(A14:A18, MATCH(MAX(B14:B18), B14:B18, 0))</f>
        <v>Watch</v>
      </c>
    </row>
    <row r="23" spans="1:6" x14ac:dyDescent="0.3">
      <c r="A23" s="6" t="s">
        <v>61</v>
      </c>
      <c r="B23" t="str">
        <f>"Top Product: " &amp; INDEX(A14:A18, MATCH(MAX(B14:B18), B14:B18, 0)) &amp; " (₹" &amp; MAX(B14:B18) &amp; ")"</f>
        <v>Top Product: Watch (₹2862702)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4167F-BE39-481C-9FA5-702F3E09E404}">
  <sheetPr codeName="Sheet1"/>
  <dimension ref="A1"/>
  <sheetViews>
    <sheetView showGridLines="0" zoomScale="38" zoomScaleNormal="100" workbookViewId="0">
      <selection activeCell="AL37" sqref="AL37"/>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EC8D6-55C1-40A8-A297-7348179D75EE}">
  <sheetPr codeName="Sheet3"/>
  <dimension ref="A3:K29"/>
  <sheetViews>
    <sheetView zoomScale="81" zoomScaleNormal="81" workbookViewId="0">
      <selection activeCell="L35" sqref="L35"/>
    </sheetView>
  </sheetViews>
  <sheetFormatPr defaultRowHeight="14.4" x14ac:dyDescent="0.3"/>
  <cols>
    <col min="1" max="1" width="19.21875" bestFit="1" customWidth="1"/>
    <col min="2" max="2" width="15.5546875" bestFit="1" customWidth="1"/>
    <col min="3" max="3" width="19.21875" bestFit="1" customWidth="1"/>
    <col min="4" max="4" width="16" bestFit="1" customWidth="1"/>
    <col min="5" max="5" width="19.21875" bestFit="1" customWidth="1"/>
    <col min="6" max="6" width="12.88671875" bestFit="1" customWidth="1"/>
    <col min="7" max="7" width="19" bestFit="1" customWidth="1"/>
    <col min="8" max="8" width="19.21875" bestFit="1" customWidth="1"/>
    <col min="10" max="10" width="13.109375" bestFit="1" customWidth="1"/>
    <col min="11" max="11" width="19.21875" bestFit="1" customWidth="1"/>
    <col min="12" max="12" width="16" bestFit="1" customWidth="1"/>
    <col min="13" max="13" width="19.6640625" bestFit="1" customWidth="1"/>
  </cols>
  <sheetData>
    <row r="3" spans="1:11" x14ac:dyDescent="0.3">
      <c r="A3" t="s">
        <v>36</v>
      </c>
      <c r="B3" t="s">
        <v>39</v>
      </c>
      <c r="C3" t="s">
        <v>37</v>
      </c>
      <c r="D3" t="s">
        <v>38</v>
      </c>
      <c r="F3" s="5" t="s">
        <v>51</v>
      </c>
      <c r="G3" t="s">
        <v>36</v>
      </c>
    </row>
    <row r="4" spans="1:11" x14ac:dyDescent="0.3">
      <c r="A4" s="4">
        <v>10171729</v>
      </c>
      <c r="B4">
        <v>100</v>
      </c>
      <c r="C4" s="4">
        <v>2781118</v>
      </c>
      <c r="D4">
        <v>1044</v>
      </c>
      <c r="F4" s="6" t="s">
        <v>16</v>
      </c>
      <c r="G4" s="4">
        <v>2862702</v>
      </c>
    </row>
    <row r="5" spans="1:11" x14ac:dyDescent="0.3">
      <c r="F5" s="6" t="s">
        <v>17</v>
      </c>
      <c r="G5" s="4">
        <v>3806244</v>
      </c>
    </row>
    <row r="6" spans="1:11" x14ac:dyDescent="0.3">
      <c r="F6" s="6" t="s">
        <v>18</v>
      </c>
      <c r="G6" s="4">
        <v>3502783</v>
      </c>
    </row>
    <row r="7" spans="1:11" x14ac:dyDescent="0.3">
      <c r="F7" s="6" t="s">
        <v>40</v>
      </c>
      <c r="G7" s="4">
        <v>10171729</v>
      </c>
      <c r="J7" s="5" t="s">
        <v>50</v>
      </c>
      <c r="K7" t="s">
        <v>36</v>
      </c>
    </row>
    <row r="8" spans="1:11" x14ac:dyDescent="0.3">
      <c r="A8" s="5" t="s">
        <v>48</v>
      </c>
      <c r="B8" t="s">
        <v>37</v>
      </c>
      <c r="C8" t="s">
        <v>36</v>
      </c>
      <c r="J8" s="6" t="s">
        <v>22</v>
      </c>
      <c r="K8" s="4">
        <v>2980118</v>
      </c>
    </row>
    <row r="9" spans="1:11" x14ac:dyDescent="0.3">
      <c r="A9" s="6" t="s">
        <v>24</v>
      </c>
      <c r="B9" s="4">
        <v>1014002</v>
      </c>
      <c r="C9" s="4">
        <v>3694353</v>
      </c>
      <c r="J9" s="6" t="s">
        <v>19</v>
      </c>
      <c r="K9" s="4">
        <v>703258</v>
      </c>
    </row>
    <row r="10" spans="1:11" x14ac:dyDescent="0.3">
      <c r="A10" s="6" t="s">
        <v>25</v>
      </c>
      <c r="B10" s="4">
        <v>692289</v>
      </c>
      <c r="C10" s="4">
        <v>2512578</v>
      </c>
      <c r="J10" s="6" t="s">
        <v>20</v>
      </c>
      <c r="K10" s="4">
        <v>1401021</v>
      </c>
    </row>
    <row r="11" spans="1:11" x14ac:dyDescent="0.3">
      <c r="A11" s="6" t="s">
        <v>26</v>
      </c>
      <c r="B11" s="4">
        <v>1074827</v>
      </c>
      <c r="C11" s="4">
        <v>3964798</v>
      </c>
      <c r="J11" s="6" t="s">
        <v>21</v>
      </c>
      <c r="K11" s="4">
        <v>1121219</v>
      </c>
    </row>
    <row r="12" spans="1:11" x14ac:dyDescent="0.3">
      <c r="A12" s="6" t="s">
        <v>40</v>
      </c>
      <c r="B12" s="4">
        <v>2781118</v>
      </c>
      <c r="C12" s="4">
        <v>10171729</v>
      </c>
      <c r="J12" s="6" t="s">
        <v>23</v>
      </c>
      <c r="K12" s="4">
        <v>3966113</v>
      </c>
    </row>
    <row r="13" spans="1:11" x14ac:dyDescent="0.3">
      <c r="F13" s="5" t="s">
        <v>49</v>
      </c>
      <c r="G13" t="s">
        <v>36</v>
      </c>
      <c r="H13" t="s">
        <v>37</v>
      </c>
      <c r="J13" s="6" t="s">
        <v>40</v>
      </c>
      <c r="K13" s="4">
        <v>10171729</v>
      </c>
    </row>
    <row r="14" spans="1:11" x14ac:dyDescent="0.3">
      <c r="F14" s="6" t="s">
        <v>14</v>
      </c>
      <c r="G14" s="4">
        <v>1913232</v>
      </c>
      <c r="H14" s="4">
        <v>543237</v>
      </c>
    </row>
    <row r="15" spans="1:11" x14ac:dyDescent="0.3">
      <c r="A15" s="5" t="s">
        <v>47</v>
      </c>
      <c r="B15" t="s">
        <v>36</v>
      </c>
      <c r="C15" t="s">
        <v>38</v>
      </c>
      <c r="F15" s="6" t="s">
        <v>12</v>
      </c>
      <c r="G15" s="4">
        <v>2214361</v>
      </c>
      <c r="H15" s="4">
        <v>635018</v>
      </c>
    </row>
    <row r="16" spans="1:11" x14ac:dyDescent="0.3">
      <c r="A16" s="6" t="s">
        <v>41</v>
      </c>
      <c r="B16" s="4">
        <v>1512740</v>
      </c>
      <c r="C16">
        <v>193</v>
      </c>
      <c r="F16" s="6" t="s">
        <v>15</v>
      </c>
      <c r="G16" s="4">
        <v>1591883</v>
      </c>
      <c r="H16" s="4">
        <v>489554</v>
      </c>
    </row>
    <row r="17" spans="1:11" x14ac:dyDescent="0.3">
      <c r="A17" s="6" t="s">
        <v>42</v>
      </c>
      <c r="B17" s="4">
        <v>1724594</v>
      </c>
      <c r="C17">
        <v>172</v>
      </c>
      <c r="F17" s="6" t="s">
        <v>13</v>
      </c>
      <c r="G17" s="4">
        <v>1589551</v>
      </c>
      <c r="H17" s="4">
        <v>428244</v>
      </c>
    </row>
    <row r="18" spans="1:11" x14ac:dyDescent="0.3">
      <c r="A18" s="6" t="s">
        <v>43</v>
      </c>
      <c r="B18" s="4">
        <v>1543096</v>
      </c>
      <c r="C18">
        <v>156</v>
      </c>
      <c r="F18" s="6" t="s">
        <v>11</v>
      </c>
      <c r="G18" s="4">
        <v>2862702</v>
      </c>
      <c r="H18" s="4">
        <v>685065</v>
      </c>
    </row>
    <row r="19" spans="1:11" x14ac:dyDescent="0.3">
      <c r="A19" s="6" t="s">
        <v>44</v>
      </c>
      <c r="B19" s="4">
        <v>1058343</v>
      </c>
      <c r="C19">
        <v>113</v>
      </c>
      <c r="F19" s="6" t="s">
        <v>40</v>
      </c>
      <c r="G19" s="4">
        <v>10171729</v>
      </c>
      <c r="H19" s="4">
        <v>2781118</v>
      </c>
    </row>
    <row r="20" spans="1:11" x14ac:dyDescent="0.3">
      <c r="A20" s="6" t="s">
        <v>45</v>
      </c>
      <c r="B20" s="4">
        <v>3700495</v>
      </c>
      <c r="C20">
        <v>324</v>
      </c>
    </row>
    <row r="21" spans="1:11" x14ac:dyDescent="0.3">
      <c r="A21" s="6" t="s">
        <v>46</v>
      </c>
      <c r="B21" s="4">
        <v>632461</v>
      </c>
      <c r="C21">
        <v>86</v>
      </c>
    </row>
    <row r="22" spans="1:11" x14ac:dyDescent="0.3">
      <c r="A22" s="6" t="s">
        <v>40</v>
      </c>
      <c r="B22" s="4">
        <v>10171729</v>
      </c>
      <c r="C22">
        <v>1044</v>
      </c>
    </row>
    <row r="25" spans="1:11" x14ac:dyDescent="0.3">
      <c r="G25" s="5" t="s">
        <v>52</v>
      </c>
      <c r="H25" t="s">
        <v>36</v>
      </c>
      <c r="J25" s="5" t="s">
        <v>53</v>
      </c>
      <c r="K25" t="s">
        <v>36</v>
      </c>
    </row>
    <row r="26" spans="1:11" x14ac:dyDescent="0.3">
      <c r="G26" s="6" t="s">
        <v>30</v>
      </c>
      <c r="H26" s="4">
        <v>2255303</v>
      </c>
      <c r="J26" s="6" t="s">
        <v>29</v>
      </c>
      <c r="K26" s="4">
        <v>4688216</v>
      </c>
    </row>
    <row r="27" spans="1:11" x14ac:dyDescent="0.3">
      <c r="G27" s="6" t="s">
        <v>32</v>
      </c>
      <c r="H27" s="4">
        <v>5128110</v>
      </c>
      <c r="J27" s="6" t="s">
        <v>27</v>
      </c>
      <c r="K27" s="4">
        <v>2294952</v>
      </c>
    </row>
    <row r="28" spans="1:11" x14ac:dyDescent="0.3">
      <c r="G28" s="6" t="s">
        <v>31</v>
      </c>
      <c r="H28" s="4">
        <v>2788316</v>
      </c>
      <c r="J28" s="6" t="s">
        <v>28</v>
      </c>
      <c r="K28" s="4">
        <v>3188561</v>
      </c>
    </row>
    <row r="29" spans="1:11" x14ac:dyDescent="0.3">
      <c r="G29" s="6" t="s">
        <v>40</v>
      </c>
      <c r="H29" s="4">
        <v>10171729</v>
      </c>
      <c r="J29" s="6" t="s">
        <v>40</v>
      </c>
      <c r="K29" s="4">
        <v>10171729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T112"/>
  <sheetViews>
    <sheetView zoomScale="102" workbookViewId="0">
      <selection activeCell="A112" sqref="A112"/>
    </sheetView>
  </sheetViews>
  <sheetFormatPr defaultRowHeight="14.4" x14ac:dyDescent="0.3"/>
  <cols>
    <col min="1" max="1" width="11.109375" customWidth="1"/>
    <col min="2" max="2" width="9.5546875" customWidth="1"/>
    <col min="3" max="3" width="12.109375" customWidth="1"/>
    <col min="4" max="4" width="15.109375" customWidth="1"/>
    <col min="5" max="5" width="11.88671875" customWidth="1"/>
    <col min="6" max="6" width="13.21875" customWidth="1"/>
    <col min="7" max="7" width="18.6640625" customWidth="1"/>
    <col min="8" max="8" width="15.33203125" customWidth="1"/>
    <col min="9" max="9" width="15.88671875" customWidth="1"/>
    <col min="10" max="10" width="14.44140625" customWidth="1"/>
    <col min="11" max="11" width="17.5546875" customWidth="1"/>
    <col min="12" max="12" width="29.5546875" bestFit="1" customWidth="1"/>
    <col min="13" max="13" width="12.88671875" customWidth="1"/>
    <col min="14" max="14" width="13.109375" customWidth="1"/>
    <col min="16" max="16" width="14" bestFit="1" customWidth="1"/>
    <col min="17" max="17" width="12.77734375" bestFit="1" customWidth="1"/>
    <col min="19" max="19" width="14.44140625" bestFit="1" customWidth="1"/>
    <col min="20" max="20" width="23.5546875" bestFit="1" customWidth="1"/>
  </cols>
  <sheetData>
    <row r="1" spans="1:20" x14ac:dyDescent="0.3">
      <c r="A1" s="1" t="s">
        <v>0</v>
      </c>
      <c r="B1" s="1" t="s">
        <v>1</v>
      </c>
      <c r="C1" s="1" t="s">
        <v>2</v>
      </c>
      <c r="D1" s="1" t="s">
        <v>3</v>
      </c>
      <c r="E1" s="1" t="s">
        <v>4</v>
      </c>
      <c r="F1" s="1" t="s">
        <v>5</v>
      </c>
      <c r="G1" s="1" t="s">
        <v>6</v>
      </c>
      <c r="H1" s="1" t="s">
        <v>7</v>
      </c>
      <c r="I1" s="1" t="s">
        <v>33</v>
      </c>
      <c r="J1" s="1" t="s">
        <v>34</v>
      </c>
      <c r="K1" s="1" t="s">
        <v>8</v>
      </c>
      <c r="L1" s="1" t="s">
        <v>35</v>
      </c>
      <c r="M1" s="1" t="s">
        <v>9</v>
      </c>
      <c r="N1" s="2" t="s">
        <v>10</v>
      </c>
    </row>
    <row r="2" spans="1:20" x14ac:dyDescent="0.3">
      <c r="A2" s="7">
        <v>46128</v>
      </c>
      <c r="B2" t="s">
        <v>11</v>
      </c>
      <c r="C2" t="s">
        <v>16</v>
      </c>
      <c r="D2" t="s">
        <v>19</v>
      </c>
      <c r="E2" t="s">
        <v>24</v>
      </c>
      <c r="F2" t="s">
        <v>27</v>
      </c>
      <c r="G2" t="s">
        <v>30</v>
      </c>
      <c r="H2">
        <v>1</v>
      </c>
      <c r="I2" s="4">
        <v>2561</v>
      </c>
      <c r="J2" s="4">
        <v>2146</v>
      </c>
      <c r="K2" s="4">
        <f>Table1[[#This Row],[S.P / UNIT]]*Table1[[#This Row],[Units Sold]]</f>
        <v>2561</v>
      </c>
      <c r="L2" s="4">
        <f>Table1[[#This Row],[C.P / UNIT]]*Table1[[#This Row],[Units Sold]]</f>
        <v>2146</v>
      </c>
      <c r="M2" s="4">
        <f>Table1[[#This Row],[Sales Amount]]-Table1[[#This Row],[TOTAL COST WHEN BOUGHT]]</f>
        <v>415</v>
      </c>
      <c r="N2" s="3">
        <f>Table1[[#This Row],[Profit]]/Table1[[#This Row],[Sales Amount]]</f>
        <v>0.1620460757516595</v>
      </c>
    </row>
    <row r="3" spans="1:20" x14ac:dyDescent="0.3">
      <c r="A3" s="7">
        <v>46063</v>
      </c>
      <c r="B3" t="s">
        <v>11</v>
      </c>
      <c r="C3" t="s">
        <v>16</v>
      </c>
      <c r="D3" t="s">
        <v>20</v>
      </c>
      <c r="E3" t="s">
        <v>24</v>
      </c>
      <c r="F3" t="s">
        <v>28</v>
      </c>
      <c r="G3" t="s">
        <v>30</v>
      </c>
      <c r="H3">
        <v>12</v>
      </c>
      <c r="I3" s="4">
        <v>15123</v>
      </c>
      <c r="J3" s="4">
        <v>12608</v>
      </c>
      <c r="K3" s="4">
        <f>Table1[[#This Row],[S.P / UNIT]]*Table1[[#This Row],[Units Sold]]</f>
        <v>181476</v>
      </c>
      <c r="L3" s="4">
        <f>Table1[[#This Row],[C.P / UNIT]]*Table1[[#This Row],[Units Sold]]</f>
        <v>151296</v>
      </c>
      <c r="M3" s="4">
        <f>Table1[[#This Row],[Sales Amount]]-Table1[[#This Row],[TOTAL COST WHEN BOUGHT]]</f>
        <v>30180</v>
      </c>
      <c r="N3" s="3">
        <f>Table1[[#This Row],[Profit]]/Table1[[#This Row],[Sales Amount]]</f>
        <v>0.16630298221252396</v>
      </c>
    </row>
    <row r="4" spans="1:20" x14ac:dyDescent="0.3">
      <c r="A4" s="7">
        <v>46170</v>
      </c>
      <c r="B4" t="s">
        <v>12</v>
      </c>
      <c r="C4" t="s">
        <v>17</v>
      </c>
      <c r="D4" t="s">
        <v>19</v>
      </c>
      <c r="E4" t="s">
        <v>25</v>
      </c>
      <c r="F4" t="s">
        <v>28</v>
      </c>
      <c r="G4" t="s">
        <v>31</v>
      </c>
      <c r="H4">
        <v>9</v>
      </c>
      <c r="I4" s="4">
        <v>6069</v>
      </c>
      <c r="J4" s="4">
        <v>4066</v>
      </c>
      <c r="K4" s="4">
        <f>Table1[[#This Row],[S.P / UNIT]]*Table1[[#This Row],[Units Sold]]</f>
        <v>54621</v>
      </c>
      <c r="L4" s="4">
        <f>Table1[[#This Row],[C.P / UNIT]]*Table1[[#This Row],[Units Sold]]</f>
        <v>36594</v>
      </c>
      <c r="M4" s="4">
        <f>Table1[[#This Row],[Sales Amount]]-Table1[[#This Row],[TOTAL COST WHEN BOUGHT]]</f>
        <v>18027</v>
      </c>
      <c r="N4" s="3">
        <f>Table1[[#This Row],[Profit]]/Table1[[#This Row],[Sales Amount]]</f>
        <v>0.33003789751194595</v>
      </c>
    </row>
    <row r="5" spans="1:20" x14ac:dyDescent="0.3">
      <c r="A5" s="7">
        <v>46042</v>
      </c>
      <c r="B5" t="s">
        <v>13</v>
      </c>
      <c r="C5" t="s">
        <v>18</v>
      </c>
      <c r="D5" t="s">
        <v>21</v>
      </c>
      <c r="E5" t="s">
        <v>26</v>
      </c>
      <c r="F5" t="s">
        <v>29</v>
      </c>
      <c r="G5" t="s">
        <v>30</v>
      </c>
      <c r="H5">
        <v>7</v>
      </c>
      <c r="I5" s="4">
        <v>12369</v>
      </c>
      <c r="J5" s="4">
        <v>9130</v>
      </c>
      <c r="K5" s="4">
        <f>Table1[[#This Row],[S.P / UNIT]]*Table1[[#This Row],[Units Sold]]</f>
        <v>86583</v>
      </c>
      <c r="L5" s="4">
        <f>Table1[[#This Row],[C.P / UNIT]]*Table1[[#This Row],[Units Sold]]</f>
        <v>63910</v>
      </c>
      <c r="M5" s="4">
        <f>Table1[[#This Row],[Sales Amount]]-Table1[[#This Row],[TOTAL COST WHEN BOUGHT]]</f>
        <v>22673</v>
      </c>
      <c r="N5" s="3">
        <f>Table1[[#This Row],[Profit]]/Table1[[#This Row],[Sales Amount]]</f>
        <v>0.26186433826501737</v>
      </c>
    </row>
    <row r="6" spans="1:20" x14ac:dyDescent="0.3">
      <c r="A6" s="7">
        <v>46162</v>
      </c>
      <c r="B6" t="s">
        <v>11</v>
      </c>
      <c r="C6" t="s">
        <v>16</v>
      </c>
      <c r="D6" t="s">
        <v>21</v>
      </c>
      <c r="E6" t="s">
        <v>24</v>
      </c>
      <c r="F6" t="s">
        <v>27</v>
      </c>
      <c r="G6" t="s">
        <v>32</v>
      </c>
      <c r="H6">
        <v>6</v>
      </c>
      <c r="I6" s="4">
        <v>1185</v>
      </c>
      <c r="J6" s="4">
        <v>728</v>
      </c>
      <c r="K6" s="4">
        <f>Table1[[#This Row],[S.P / UNIT]]*Table1[[#This Row],[Units Sold]]</f>
        <v>7110</v>
      </c>
      <c r="L6" s="4">
        <f>Table1[[#This Row],[C.P / UNIT]]*Table1[[#This Row],[Units Sold]]</f>
        <v>4368</v>
      </c>
      <c r="M6" s="4">
        <f>Table1[[#This Row],[Sales Amount]]-Table1[[#This Row],[TOTAL COST WHEN BOUGHT]]</f>
        <v>2742</v>
      </c>
      <c r="N6" s="3">
        <f>Table1[[#This Row],[Profit]]/Table1[[#This Row],[Sales Amount]]</f>
        <v>0.38565400843881859</v>
      </c>
      <c r="P6" t="s">
        <v>54</v>
      </c>
      <c r="Q6" s="4">
        <f>SUM(Table1[Sales Amount])</f>
        <v>10773650</v>
      </c>
    </row>
    <row r="7" spans="1:20" x14ac:dyDescent="0.3">
      <c r="A7" s="7">
        <v>46042</v>
      </c>
      <c r="B7" t="s">
        <v>11</v>
      </c>
      <c r="C7" t="s">
        <v>16</v>
      </c>
      <c r="D7" t="s">
        <v>22</v>
      </c>
      <c r="E7" t="s">
        <v>24</v>
      </c>
      <c r="F7" t="s">
        <v>29</v>
      </c>
      <c r="G7" t="s">
        <v>30</v>
      </c>
      <c r="H7">
        <v>10</v>
      </c>
      <c r="I7" s="4">
        <v>12618</v>
      </c>
      <c r="J7" s="4">
        <v>9779</v>
      </c>
      <c r="K7" s="4">
        <f>Table1[[#This Row],[S.P / UNIT]]*Table1[[#This Row],[Units Sold]]</f>
        <v>126180</v>
      </c>
      <c r="L7" s="4">
        <f>Table1[[#This Row],[C.P / UNIT]]*Table1[[#This Row],[Units Sold]]</f>
        <v>97790</v>
      </c>
      <c r="M7" s="4">
        <f>Table1[[#This Row],[Sales Amount]]-Table1[[#This Row],[TOTAL COST WHEN BOUGHT]]</f>
        <v>28390</v>
      </c>
      <c r="N7" s="3">
        <f>Table1[[#This Row],[Profit]]/Table1[[#This Row],[Sales Amount]]</f>
        <v>0.22499603740687907</v>
      </c>
    </row>
    <row r="8" spans="1:20" x14ac:dyDescent="0.3">
      <c r="A8" s="7">
        <v>46035</v>
      </c>
      <c r="B8" t="s">
        <v>13</v>
      </c>
      <c r="C8" t="s">
        <v>18</v>
      </c>
      <c r="D8" t="s">
        <v>22</v>
      </c>
      <c r="E8" t="s">
        <v>24</v>
      </c>
      <c r="F8" t="s">
        <v>27</v>
      </c>
      <c r="G8" t="s">
        <v>31</v>
      </c>
      <c r="H8">
        <v>12</v>
      </c>
      <c r="I8" s="4">
        <v>18553</v>
      </c>
      <c r="J8" s="4">
        <v>13476</v>
      </c>
      <c r="K8" s="4">
        <f>Table1[[#This Row],[S.P / UNIT]]*Table1[[#This Row],[Units Sold]]</f>
        <v>222636</v>
      </c>
      <c r="L8" s="4">
        <f>Table1[[#This Row],[C.P / UNIT]]*Table1[[#This Row],[Units Sold]]</f>
        <v>161712</v>
      </c>
      <c r="M8" s="4">
        <f>Table1[[#This Row],[Sales Amount]]-Table1[[#This Row],[TOTAL COST WHEN BOUGHT]]</f>
        <v>60924</v>
      </c>
      <c r="N8" s="3">
        <f>Table1[[#This Row],[Profit]]/Table1[[#This Row],[Sales Amount]]</f>
        <v>0.27364846655527408</v>
      </c>
      <c r="P8" t="s">
        <v>55</v>
      </c>
      <c r="Q8" s="4">
        <f>SUM(Table1[Profit])</f>
        <v>2950242</v>
      </c>
      <c r="S8" t="s">
        <v>63</v>
      </c>
      <c r="T8" s="15">
        <f>Q8/Q6</f>
        <v>0.27383867120242444</v>
      </c>
    </row>
    <row r="9" spans="1:20" x14ac:dyDescent="0.3">
      <c r="A9" s="7">
        <v>46043</v>
      </c>
      <c r="B9" t="s">
        <v>14</v>
      </c>
      <c r="C9" t="s">
        <v>18</v>
      </c>
      <c r="D9" t="s">
        <v>22</v>
      </c>
      <c r="E9" t="s">
        <v>24</v>
      </c>
      <c r="F9" t="s">
        <v>29</v>
      </c>
      <c r="G9" t="s">
        <v>32</v>
      </c>
      <c r="H9">
        <v>9</v>
      </c>
      <c r="I9" s="4">
        <v>4011</v>
      </c>
      <c r="J9" s="4">
        <v>3123</v>
      </c>
      <c r="K9" s="4">
        <f>Table1[[#This Row],[S.P / UNIT]]*Table1[[#This Row],[Units Sold]]</f>
        <v>36099</v>
      </c>
      <c r="L9" s="4">
        <f>Table1[[#This Row],[C.P / UNIT]]*Table1[[#This Row],[Units Sold]]</f>
        <v>28107</v>
      </c>
      <c r="M9" s="4">
        <f>Table1[[#This Row],[Sales Amount]]-Table1[[#This Row],[TOTAL COST WHEN BOUGHT]]</f>
        <v>7992</v>
      </c>
      <c r="N9" s="3">
        <f>Table1[[#This Row],[Profit]]/Table1[[#This Row],[Sales Amount]]</f>
        <v>0.22139117427075541</v>
      </c>
      <c r="T9" s="16"/>
    </row>
    <row r="10" spans="1:20" x14ac:dyDescent="0.3">
      <c r="A10" s="7">
        <v>46099</v>
      </c>
      <c r="B10" t="s">
        <v>15</v>
      </c>
      <c r="C10" t="s">
        <v>17</v>
      </c>
      <c r="D10" t="s">
        <v>23</v>
      </c>
      <c r="E10" t="s">
        <v>24</v>
      </c>
      <c r="F10" t="s">
        <v>29</v>
      </c>
      <c r="G10" t="s">
        <v>31</v>
      </c>
      <c r="H10">
        <v>9</v>
      </c>
      <c r="I10" s="4">
        <v>988</v>
      </c>
      <c r="J10" s="4">
        <v>823</v>
      </c>
      <c r="K10" s="4">
        <f>Table1[[#This Row],[S.P / UNIT]]*Table1[[#This Row],[Units Sold]]</f>
        <v>8892</v>
      </c>
      <c r="L10" s="4">
        <f>Table1[[#This Row],[C.P / UNIT]]*Table1[[#This Row],[Units Sold]]</f>
        <v>7407</v>
      </c>
      <c r="M10" s="4">
        <f>Table1[[#This Row],[Sales Amount]]-Table1[[#This Row],[TOTAL COST WHEN BOUGHT]]</f>
        <v>1485</v>
      </c>
      <c r="N10" s="3">
        <f>Table1[[#This Row],[Profit]]/Table1[[#This Row],[Sales Amount]]</f>
        <v>0.16700404858299595</v>
      </c>
      <c r="P10" t="s">
        <v>56</v>
      </c>
      <c r="Q10">
        <f>SUM(Table1[Units Sold])</f>
        <v>1138</v>
      </c>
      <c r="T10" s="15" t="str">
        <f>"Margin: " &amp; TEXT(T8,"0%") &amp; " " &amp; IF(T8&gt;0.25,"↑",IF(T8&lt;0.2,"↓","→"))</f>
        <v>Margin: 27% ↑</v>
      </c>
    </row>
    <row r="11" spans="1:20" x14ac:dyDescent="0.3">
      <c r="A11" s="7">
        <v>46176</v>
      </c>
      <c r="B11" t="s">
        <v>12</v>
      </c>
      <c r="C11" t="s">
        <v>17</v>
      </c>
      <c r="D11" t="s">
        <v>19</v>
      </c>
      <c r="E11" t="s">
        <v>25</v>
      </c>
      <c r="F11" t="s">
        <v>27</v>
      </c>
      <c r="G11" t="s">
        <v>31</v>
      </c>
      <c r="H11">
        <v>14</v>
      </c>
      <c r="I11" s="4">
        <v>3999</v>
      </c>
      <c r="J11" s="4">
        <v>3077</v>
      </c>
      <c r="K11" s="4">
        <f>Table1[[#This Row],[S.P / UNIT]]*Table1[[#This Row],[Units Sold]]</f>
        <v>55986</v>
      </c>
      <c r="L11" s="4">
        <f>Table1[[#This Row],[C.P / UNIT]]*Table1[[#This Row],[Units Sold]]</f>
        <v>43078</v>
      </c>
      <c r="M11" s="4">
        <f>Table1[[#This Row],[Sales Amount]]-Table1[[#This Row],[TOTAL COST WHEN BOUGHT]]</f>
        <v>12908</v>
      </c>
      <c r="N11" s="3">
        <f>Table1[[#This Row],[Profit]]/Table1[[#This Row],[Sales Amount]]</f>
        <v>0.23055763940985247</v>
      </c>
    </row>
    <row r="12" spans="1:20" x14ac:dyDescent="0.3">
      <c r="A12" s="7">
        <v>46194</v>
      </c>
      <c r="B12" t="s">
        <v>13</v>
      </c>
      <c r="C12" t="s">
        <v>18</v>
      </c>
      <c r="D12" t="s">
        <v>23</v>
      </c>
      <c r="E12" t="s">
        <v>25</v>
      </c>
      <c r="F12" t="s">
        <v>29</v>
      </c>
      <c r="G12" t="s">
        <v>31</v>
      </c>
      <c r="H12">
        <v>10</v>
      </c>
      <c r="I12" s="4">
        <v>3068</v>
      </c>
      <c r="J12" s="4">
        <v>1986</v>
      </c>
      <c r="K12" s="4">
        <f>Table1[[#This Row],[S.P / UNIT]]*Table1[[#This Row],[Units Sold]]</f>
        <v>30680</v>
      </c>
      <c r="L12" s="4">
        <f>Table1[[#This Row],[C.P / UNIT]]*Table1[[#This Row],[Units Sold]]</f>
        <v>19860</v>
      </c>
      <c r="M12" s="4">
        <f>Table1[[#This Row],[Sales Amount]]-Table1[[#This Row],[TOTAL COST WHEN BOUGHT]]</f>
        <v>10820</v>
      </c>
      <c r="N12" s="3">
        <f>Table1[[#This Row],[Profit]]/Table1[[#This Row],[Sales Amount]]</f>
        <v>0.35267275097783574</v>
      </c>
      <c r="P12" t="s">
        <v>57</v>
      </c>
      <c r="Q12" s="8">
        <f>AVERAGE(Table1[Sales Amount])</f>
        <v>97059.909909909911</v>
      </c>
    </row>
    <row r="13" spans="1:20" x14ac:dyDescent="0.3">
      <c r="A13" s="7">
        <v>46131</v>
      </c>
      <c r="B13" t="s">
        <v>15</v>
      </c>
      <c r="C13" t="s">
        <v>17</v>
      </c>
      <c r="D13" t="s">
        <v>22</v>
      </c>
      <c r="E13" t="s">
        <v>26</v>
      </c>
      <c r="F13" t="s">
        <v>29</v>
      </c>
      <c r="G13" t="s">
        <v>30</v>
      </c>
      <c r="H13">
        <v>1</v>
      </c>
      <c r="I13" s="4">
        <v>6398</v>
      </c>
      <c r="J13" s="4">
        <v>4495</v>
      </c>
      <c r="K13" s="4">
        <f>Table1[[#This Row],[S.P / UNIT]]*Table1[[#This Row],[Units Sold]]</f>
        <v>6398</v>
      </c>
      <c r="L13" s="4">
        <f>Table1[[#This Row],[C.P / UNIT]]*Table1[[#This Row],[Units Sold]]</f>
        <v>4495</v>
      </c>
      <c r="M13" s="4">
        <f>Table1[[#This Row],[Sales Amount]]-Table1[[#This Row],[TOTAL COST WHEN BOUGHT]]</f>
        <v>1903</v>
      </c>
      <c r="N13" s="3">
        <f>Table1[[#This Row],[Profit]]/Table1[[#This Row],[Sales Amount]]</f>
        <v>0.29743669896842762</v>
      </c>
    </row>
    <row r="14" spans="1:20" x14ac:dyDescent="0.3">
      <c r="A14" s="7">
        <v>46191</v>
      </c>
      <c r="B14" t="s">
        <v>13</v>
      </c>
      <c r="C14" t="s">
        <v>18</v>
      </c>
      <c r="D14" t="s">
        <v>20</v>
      </c>
      <c r="E14" t="s">
        <v>26</v>
      </c>
      <c r="F14" t="s">
        <v>27</v>
      </c>
      <c r="G14" t="s">
        <v>31</v>
      </c>
      <c r="H14">
        <v>6</v>
      </c>
      <c r="I14" s="4">
        <v>14837</v>
      </c>
      <c r="J14" s="4">
        <v>10137</v>
      </c>
      <c r="K14" s="4">
        <f>Table1[[#This Row],[S.P / UNIT]]*Table1[[#This Row],[Units Sold]]</f>
        <v>89022</v>
      </c>
      <c r="L14" s="4">
        <f>Table1[[#This Row],[C.P / UNIT]]*Table1[[#This Row],[Units Sold]]</f>
        <v>60822</v>
      </c>
      <c r="M14" s="4">
        <f>Table1[[#This Row],[Sales Amount]]-Table1[[#This Row],[TOTAL COST WHEN BOUGHT]]</f>
        <v>28200</v>
      </c>
      <c r="N14" s="3">
        <f>Table1[[#This Row],[Profit]]/Table1[[#This Row],[Sales Amount]]</f>
        <v>0.31677562849632673</v>
      </c>
    </row>
    <row r="15" spans="1:20" x14ac:dyDescent="0.3">
      <c r="A15" s="7">
        <v>46090</v>
      </c>
      <c r="B15" t="s">
        <v>14</v>
      </c>
      <c r="C15" t="s">
        <v>18</v>
      </c>
      <c r="D15" t="s">
        <v>20</v>
      </c>
      <c r="E15" t="s">
        <v>26</v>
      </c>
      <c r="F15" t="s">
        <v>27</v>
      </c>
      <c r="G15" t="s">
        <v>32</v>
      </c>
      <c r="H15">
        <v>11</v>
      </c>
      <c r="I15" s="4">
        <v>14943</v>
      </c>
      <c r="J15" s="4">
        <v>9791</v>
      </c>
      <c r="K15" s="4">
        <f>Table1[[#This Row],[S.P / UNIT]]*Table1[[#This Row],[Units Sold]]</f>
        <v>164373</v>
      </c>
      <c r="L15" s="4">
        <f>Table1[[#This Row],[C.P / UNIT]]*Table1[[#This Row],[Units Sold]]</f>
        <v>107701</v>
      </c>
      <c r="M15" s="4">
        <f>Table1[[#This Row],[Sales Amount]]-Table1[[#This Row],[TOTAL COST WHEN BOUGHT]]</f>
        <v>56672</v>
      </c>
      <c r="N15" s="3">
        <f>Table1[[#This Row],[Profit]]/Table1[[#This Row],[Sales Amount]]</f>
        <v>0.34477681857726028</v>
      </c>
    </row>
    <row r="16" spans="1:20" x14ac:dyDescent="0.3">
      <c r="A16" s="7">
        <v>46146</v>
      </c>
      <c r="B16" t="s">
        <v>12</v>
      </c>
      <c r="C16" t="s">
        <v>17</v>
      </c>
      <c r="D16" t="s">
        <v>23</v>
      </c>
      <c r="E16" t="s">
        <v>25</v>
      </c>
      <c r="F16" t="s">
        <v>29</v>
      </c>
      <c r="G16" t="s">
        <v>31</v>
      </c>
      <c r="H16">
        <v>7</v>
      </c>
      <c r="I16" s="4">
        <v>16269</v>
      </c>
      <c r="J16" s="4">
        <v>12356</v>
      </c>
      <c r="K16" s="4">
        <f>Table1[[#This Row],[S.P / UNIT]]*Table1[[#This Row],[Units Sold]]</f>
        <v>113883</v>
      </c>
      <c r="L16" s="4">
        <f>Table1[[#This Row],[C.P / UNIT]]*Table1[[#This Row],[Units Sold]]</f>
        <v>86492</v>
      </c>
      <c r="M16" s="4">
        <f>Table1[[#This Row],[Sales Amount]]-Table1[[#This Row],[TOTAL COST WHEN BOUGHT]]</f>
        <v>27391</v>
      </c>
      <c r="N16" s="3">
        <f>Table1[[#This Row],[Profit]]/Table1[[#This Row],[Sales Amount]]</f>
        <v>0.24051877804413302</v>
      </c>
    </row>
    <row r="17" spans="1:14" x14ac:dyDescent="0.3">
      <c r="A17" s="7">
        <v>46129</v>
      </c>
      <c r="B17" t="s">
        <v>11</v>
      </c>
      <c r="C17" t="s">
        <v>16</v>
      </c>
      <c r="D17" t="s">
        <v>20</v>
      </c>
      <c r="E17" t="s">
        <v>26</v>
      </c>
      <c r="F17" t="s">
        <v>27</v>
      </c>
      <c r="G17" t="s">
        <v>32</v>
      </c>
      <c r="H17">
        <v>15</v>
      </c>
      <c r="I17" s="4">
        <v>17776</v>
      </c>
      <c r="J17" s="4">
        <v>12815</v>
      </c>
      <c r="K17" s="4">
        <f>Table1[[#This Row],[S.P / UNIT]]*Table1[[#This Row],[Units Sold]]</f>
        <v>266640</v>
      </c>
      <c r="L17" s="4">
        <f>Table1[[#This Row],[C.P / UNIT]]*Table1[[#This Row],[Units Sold]]</f>
        <v>192225</v>
      </c>
      <c r="M17" s="4">
        <f>Table1[[#This Row],[Sales Amount]]-Table1[[#This Row],[TOTAL COST WHEN BOUGHT]]</f>
        <v>74415</v>
      </c>
      <c r="N17" s="3">
        <f>Table1[[#This Row],[Profit]]/Table1[[#This Row],[Sales Amount]]</f>
        <v>0.27908415841584161</v>
      </c>
    </row>
    <row r="18" spans="1:14" x14ac:dyDescent="0.3">
      <c r="A18" s="7">
        <v>46187</v>
      </c>
      <c r="B18" t="s">
        <v>14</v>
      </c>
      <c r="C18" t="s">
        <v>18</v>
      </c>
      <c r="D18" t="s">
        <v>22</v>
      </c>
      <c r="E18" t="s">
        <v>26</v>
      </c>
      <c r="F18" t="s">
        <v>27</v>
      </c>
      <c r="G18" t="s">
        <v>31</v>
      </c>
      <c r="H18">
        <v>2</v>
      </c>
      <c r="I18" s="4">
        <v>17870</v>
      </c>
      <c r="J18" s="4">
        <v>13787</v>
      </c>
      <c r="K18" s="4">
        <f>Table1[[#This Row],[S.P / UNIT]]*Table1[[#This Row],[Units Sold]]</f>
        <v>35740</v>
      </c>
      <c r="L18" s="4">
        <f>Table1[[#This Row],[C.P / UNIT]]*Table1[[#This Row],[Units Sold]]</f>
        <v>27574</v>
      </c>
      <c r="M18" s="4">
        <f>Table1[[#This Row],[Sales Amount]]-Table1[[#This Row],[TOTAL COST WHEN BOUGHT]]</f>
        <v>8166</v>
      </c>
      <c r="N18" s="3">
        <f>Table1[[#This Row],[Profit]]/Table1[[#This Row],[Sales Amount]]</f>
        <v>0.22848349188584219</v>
      </c>
    </row>
    <row r="19" spans="1:14" x14ac:dyDescent="0.3">
      <c r="A19" s="7">
        <v>46172</v>
      </c>
      <c r="B19" t="s">
        <v>15</v>
      </c>
      <c r="C19" t="s">
        <v>17</v>
      </c>
      <c r="D19" t="s">
        <v>19</v>
      </c>
      <c r="E19" t="s">
        <v>25</v>
      </c>
      <c r="F19" t="s">
        <v>28</v>
      </c>
      <c r="G19" t="s">
        <v>31</v>
      </c>
      <c r="H19">
        <v>3</v>
      </c>
      <c r="I19" s="4">
        <v>16640</v>
      </c>
      <c r="J19" s="4">
        <v>11501</v>
      </c>
      <c r="K19" s="4">
        <f>Table1[[#This Row],[S.P / UNIT]]*Table1[[#This Row],[Units Sold]]</f>
        <v>49920</v>
      </c>
      <c r="L19" s="4">
        <f>Table1[[#This Row],[C.P / UNIT]]*Table1[[#This Row],[Units Sold]]</f>
        <v>34503</v>
      </c>
      <c r="M19" s="4">
        <f>Table1[[#This Row],[Sales Amount]]-Table1[[#This Row],[TOTAL COST WHEN BOUGHT]]</f>
        <v>15417</v>
      </c>
      <c r="N19" s="3">
        <f>Table1[[#This Row],[Profit]]/Table1[[#This Row],[Sales Amount]]</f>
        <v>0.30883413461538461</v>
      </c>
    </row>
    <row r="20" spans="1:14" x14ac:dyDescent="0.3">
      <c r="A20" s="7">
        <v>46087</v>
      </c>
      <c r="B20" t="s">
        <v>14</v>
      </c>
      <c r="C20" t="s">
        <v>18</v>
      </c>
      <c r="D20" t="s">
        <v>21</v>
      </c>
      <c r="E20" t="s">
        <v>26</v>
      </c>
      <c r="F20" t="s">
        <v>28</v>
      </c>
      <c r="G20" t="s">
        <v>31</v>
      </c>
      <c r="H20">
        <v>11</v>
      </c>
      <c r="I20" s="4">
        <v>16768</v>
      </c>
      <c r="J20" s="4">
        <v>12381</v>
      </c>
      <c r="K20" s="4">
        <f>Table1[[#This Row],[S.P / UNIT]]*Table1[[#This Row],[Units Sold]]</f>
        <v>184448</v>
      </c>
      <c r="L20" s="4">
        <f>Table1[[#This Row],[C.P / UNIT]]*Table1[[#This Row],[Units Sold]]</f>
        <v>136191</v>
      </c>
      <c r="M20" s="4">
        <f>Table1[[#This Row],[Sales Amount]]-Table1[[#This Row],[TOTAL COST WHEN BOUGHT]]</f>
        <v>48257</v>
      </c>
      <c r="N20" s="3">
        <f>Table1[[#This Row],[Profit]]/Table1[[#This Row],[Sales Amount]]</f>
        <v>0.26162929389312978</v>
      </c>
    </row>
    <row r="21" spans="1:14" x14ac:dyDescent="0.3">
      <c r="A21" s="7">
        <v>46068</v>
      </c>
      <c r="B21" t="s">
        <v>12</v>
      </c>
      <c r="C21" t="s">
        <v>17</v>
      </c>
      <c r="D21" t="s">
        <v>20</v>
      </c>
      <c r="E21" t="s">
        <v>25</v>
      </c>
      <c r="F21" t="s">
        <v>28</v>
      </c>
      <c r="G21" t="s">
        <v>30</v>
      </c>
      <c r="H21">
        <v>7</v>
      </c>
      <c r="I21" s="4">
        <v>5736</v>
      </c>
      <c r="J21" s="4">
        <v>4437</v>
      </c>
      <c r="K21" s="4">
        <f>Table1[[#This Row],[S.P / UNIT]]*Table1[[#This Row],[Units Sold]]</f>
        <v>40152</v>
      </c>
      <c r="L21" s="4">
        <f>Table1[[#This Row],[C.P / UNIT]]*Table1[[#This Row],[Units Sold]]</f>
        <v>31059</v>
      </c>
      <c r="M21" s="4">
        <f>Table1[[#This Row],[Sales Amount]]-Table1[[#This Row],[TOTAL COST WHEN BOUGHT]]</f>
        <v>9093</v>
      </c>
      <c r="N21" s="3">
        <f>Table1[[#This Row],[Profit]]/Table1[[#This Row],[Sales Amount]]</f>
        <v>0.22646443514644352</v>
      </c>
    </row>
    <row r="22" spans="1:14" x14ac:dyDescent="0.3">
      <c r="A22" s="7">
        <v>46060</v>
      </c>
      <c r="B22" t="s">
        <v>14</v>
      </c>
      <c r="C22" t="s">
        <v>18</v>
      </c>
      <c r="D22" t="s">
        <v>22</v>
      </c>
      <c r="E22" t="s">
        <v>25</v>
      </c>
      <c r="F22" t="s">
        <v>29</v>
      </c>
      <c r="G22" t="s">
        <v>31</v>
      </c>
      <c r="H22">
        <v>76</v>
      </c>
      <c r="I22" s="4">
        <v>11628</v>
      </c>
      <c r="J22" s="4">
        <v>8193</v>
      </c>
      <c r="K22" s="4">
        <f>Table1[[#This Row],[S.P / UNIT]]*Table1[[#This Row],[Units Sold]]</f>
        <v>883728</v>
      </c>
      <c r="L22" s="4">
        <f>Table1[[#This Row],[C.P / UNIT]]*Table1[[#This Row],[Units Sold]]</f>
        <v>622668</v>
      </c>
      <c r="M22" s="4">
        <f>Table1[[#This Row],[Sales Amount]]-Table1[[#This Row],[TOTAL COST WHEN BOUGHT]]</f>
        <v>261060</v>
      </c>
      <c r="N22" s="3">
        <f>Table1[[#This Row],[Profit]]/Table1[[#This Row],[Sales Amount]]</f>
        <v>0.29540763673890608</v>
      </c>
    </row>
    <row r="23" spans="1:14" x14ac:dyDescent="0.3">
      <c r="A23" s="7">
        <v>46153</v>
      </c>
      <c r="B23" t="s">
        <v>12</v>
      </c>
      <c r="C23" t="s">
        <v>17</v>
      </c>
      <c r="D23" t="s">
        <v>23</v>
      </c>
      <c r="E23" t="s">
        <v>25</v>
      </c>
      <c r="F23" t="s">
        <v>29</v>
      </c>
      <c r="G23" t="s">
        <v>32</v>
      </c>
      <c r="H23">
        <v>6</v>
      </c>
      <c r="I23" s="4">
        <v>18231</v>
      </c>
      <c r="J23" s="4">
        <v>12302</v>
      </c>
      <c r="K23" s="4">
        <f>Table1[[#This Row],[S.P / UNIT]]*Table1[[#This Row],[Units Sold]]</f>
        <v>109386</v>
      </c>
      <c r="L23" s="4">
        <f>Table1[[#This Row],[C.P / UNIT]]*Table1[[#This Row],[Units Sold]]</f>
        <v>73812</v>
      </c>
      <c r="M23" s="4">
        <f>Table1[[#This Row],[Sales Amount]]-Table1[[#This Row],[TOTAL COST WHEN BOUGHT]]</f>
        <v>35574</v>
      </c>
      <c r="N23" s="3">
        <f>Table1[[#This Row],[Profit]]/Table1[[#This Row],[Sales Amount]]</f>
        <v>0.32521529263342658</v>
      </c>
    </row>
    <row r="24" spans="1:14" x14ac:dyDescent="0.3">
      <c r="A24" s="7">
        <v>46108</v>
      </c>
      <c r="B24" t="s">
        <v>12</v>
      </c>
      <c r="C24" t="s">
        <v>17</v>
      </c>
      <c r="D24" t="s">
        <v>22</v>
      </c>
      <c r="E24" t="s">
        <v>24</v>
      </c>
      <c r="F24" t="s">
        <v>29</v>
      </c>
      <c r="G24" t="s">
        <v>31</v>
      </c>
      <c r="H24">
        <v>2</v>
      </c>
      <c r="I24" s="4">
        <v>1960</v>
      </c>
      <c r="J24" s="4">
        <v>1403</v>
      </c>
      <c r="K24" s="4">
        <f>Table1[[#This Row],[S.P / UNIT]]*Table1[[#This Row],[Units Sold]]</f>
        <v>3920</v>
      </c>
      <c r="L24" s="4">
        <f>Table1[[#This Row],[C.P / UNIT]]*Table1[[#This Row],[Units Sold]]</f>
        <v>2806</v>
      </c>
      <c r="M24" s="4">
        <f>Table1[[#This Row],[Sales Amount]]-Table1[[#This Row],[TOTAL COST WHEN BOUGHT]]</f>
        <v>1114</v>
      </c>
      <c r="N24" s="3">
        <f>Table1[[#This Row],[Profit]]/Table1[[#This Row],[Sales Amount]]</f>
        <v>0.28418367346938778</v>
      </c>
    </row>
    <row r="25" spans="1:14" x14ac:dyDescent="0.3">
      <c r="A25" s="7">
        <v>46123</v>
      </c>
      <c r="B25" t="s">
        <v>11</v>
      </c>
      <c r="C25" t="s">
        <v>16</v>
      </c>
      <c r="D25" t="s">
        <v>19</v>
      </c>
      <c r="E25" t="s">
        <v>25</v>
      </c>
      <c r="F25" t="s">
        <v>29</v>
      </c>
      <c r="G25" t="s">
        <v>31</v>
      </c>
      <c r="H25">
        <v>7</v>
      </c>
      <c r="I25" s="4">
        <v>3228</v>
      </c>
      <c r="J25" s="4">
        <v>2063</v>
      </c>
      <c r="K25" s="4">
        <f>Table1[[#This Row],[S.P / UNIT]]*Table1[[#This Row],[Units Sold]]</f>
        <v>22596</v>
      </c>
      <c r="L25" s="4">
        <f>Table1[[#This Row],[C.P / UNIT]]*Table1[[#This Row],[Units Sold]]</f>
        <v>14441</v>
      </c>
      <c r="M25" s="4">
        <f>Table1[[#This Row],[Sales Amount]]-Table1[[#This Row],[TOTAL COST WHEN BOUGHT]]</f>
        <v>8155</v>
      </c>
      <c r="N25" s="3">
        <f>Table1[[#This Row],[Profit]]/Table1[[#This Row],[Sales Amount]]</f>
        <v>0.36090458488228006</v>
      </c>
    </row>
    <row r="26" spans="1:14" x14ac:dyDescent="0.3">
      <c r="A26" s="7">
        <v>46038</v>
      </c>
      <c r="B26" t="s">
        <v>13</v>
      </c>
      <c r="C26" t="s">
        <v>18</v>
      </c>
      <c r="D26" t="s">
        <v>22</v>
      </c>
      <c r="E26" t="s">
        <v>25</v>
      </c>
      <c r="F26" t="s">
        <v>29</v>
      </c>
      <c r="G26" t="s">
        <v>32</v>
      </c>
      <c r="H26">
        <v>14</v>
      </c>
      <c r="I26" s="4">
        <v>10192</v>
      </c>
      <c r="J26" s="4">
        <v>7541</v>
      </c>
      <c r="K26" s="4">
        <f>Table1[[#This Row],[S.P / UNIT]]*Table1[[#This Row],[Units Sold]]</f>
        <v>142688</v>
      </c>
      <c r="L26" s="4">
        <f>Table1[[#This Row],[C.P / UNIT]]*Table1[[#This Row],[Units Sold]]</f>
        <v>105574</v>
      </c>
      <c r="M26" s="4">
        <f>Table1[[#This Row],[Sales Amount]]-Table1[[#This Row],[TOTAL COST WHEN BOUGHT]]</f>
        <v>37114</v>
      </c>
      <c r="N26" s="3">
        <f>Table1[[#This Row],[Profit]]/Table1[[#This Row],[Sales Amount]]</f>
        <v>0.26010596546310832</v>
      </c>
    </row>
    <row r="27" spans="1:14" x14ac:dyDescent="0.3">
      <c r="A27" s="7">
        <v>46042</v>
      </c>
      <c r="B27" t="s">
        <v>12</v>
      </c>
      <c r="C27" t="s">
        <v>17</v>
      </c>
      <c r="D27" t="s">
        <v>23</v>
      </c>
      <c r="E27" t="s">
        <v>26</v>
      </c>
      <c r="F27" t="s">
        <v>29</v>
      </c>
      <c r="G27" t="s">
        <v>32</v>
      </c>
      <c r="H27">
        <v>11</v>
      </c>
      <c r="I27" s="4">
        <v>2507</v>
      </c>
      <c r="J27" s="4">
        <v>1898</v>
      </c>
      <c r="K27" s="4">
        <f>Table1[[#This Row],[S.P / UNIT]]*Table1[[#This Row],[Units Sold]]</f>
        <v>27577</v>
      </c>
      <c r="L27" s="4">
        <f>Table1[[#This Row],[C.P / UNIT]]*Table1[[#This Row],[Units Sold]]</f>
        <v>20878</v>
      </c>
      <c r="M27" s="4">
        <f>Table1[[#This Row],[Sales Amount]]-Table1[[#This Row],[TOTAL COST WHEN BOUGHT]]</f>
        <v>6699</v>
      </c>
      <c r="N27" s="3">
        <f>Table1[[#This Row],[Profit]]/Table1[[#This Row],[Sales Amount]]</f>
        <v>0.24291982449142402</v>
      </c>
    </row>
    <row r="28" spans="1:14" x14ac:dyDescent="0.3">
      <c r="A28" s="7">
        <v>46171</v>
      </c>
      <c r="B28" t="s">
        <v>11</v>
      </c>
      <c r="C28" t="s">
        <v>16</v>
      </c>
      <c r="D28" t="s">
        <v>23</v>
      </c>
      <c r="E28" t="s">
        <v>26</v>
      </c>
      <c r="F28" t="s">
        <v>28</v>
      </c>
      <c r="G28" t="s">
        <v>30</v>
      </c>
      <c r="H28">
        <v>12</v>
      </c>
      <c r="I28" s="4">
        <v>14977</v>
      </c>
      <c r="J28" s="4">
        <v>9380</v>
      </c>
      <c r="K28" s="4">
        <f>Table1[[#This Row],[S.P / UNIT]]*Table1[[#This Row],[Units Sold]]</f>
        <v>179724</v>
      </c>
      <c r="L28" s="4">
        <f>Table1[[#This Row],[C.P / UNIT]]*Table1[[#This Row],[Units Sold]]</f>
        <v>112560</v>
      </c>
      <c r="M28" s="4">
        <f>Table1[[#This Row],[Sales Amount]]-Table1[[#This Row],[TOTAL COST WHEN BOUGHT]]</f>
        <v>67164</v>
      </c>
      <c r="N28" s="3">
        <f>Table1[[#This Row],[Profit]]/Table1[[#This Row],[Sales Amount]]</f>
        <v>0.37370634973626227</v>
      </c>
    </row>
    <row r="29" spans="1:14" x14ac:dyDescent="0.3">
      <c r="A29" s="7">
        <v>46143</v>
      </c>
      <c r="B29" t="s">
        <v>13</v>
      </c>
      <c r="C29" t="s">
        <v>18</v>
      </c>
      <c r="D29" t="s">
        <v>22</v>
      </c>
      <c r="E29" t="s">
        <v>25</v>
      </c>
      <c r="F29" t="s">
        <v>29</v>
      </c>
      <c r="G29" t="s">
        <v>30</v>
      </c>
      <c r="H29">
        <v>2</v>
      </c>
      <c r="I29" s="4">
        <v>4278</v>
      </c>
      <c r="J29" s="4">
        <v>3007</v>
      </c>
      <c r="K29" s="4">
        <f>Table1[[#This Row],[S.P / UNIT]]*Table1[[#This Row],[Units Sold]]</f>
        <v>8556</v>
      </c>
      <c r="L29" s="4">
        <f>Table1[[#This Row],[C.P / UNIT]]*Table1[[#This Row],[Units Sold]]</f>
        <v>6014</v>
      </c>
      <c r="M29" s="4">
        <f>Table1[[#This Row],[Sales Amount]]-Table1[[#This Row],[TOTAL COST WHEN BOUGHT]]</f>
        <v>2542</v>
      </c>
      <c r="N29" s="3">
        <f>Table1[[#This Row],[Profit]]/Table1[[#This Row],[Sales Amount]]</f>
        <v>0.29710144927536231</v>
      </c>
    </row>
    <row r="30" spans="1:14" x14ac:dyDescent="0.3">
      <c r="A30" s="7">
        <v>46121</v>
      </c>
      <c r="B30" t="s">
        <v>13</v>
      </c>
      <c r="C30" t="s">
        <v>18</v>
      </c>
      <c r="D30" t="s">
        <v>22</v>
      </c>
      <c r="E30" t="s">
        <v>24</v>
      </c>
      <c r="F30" t="s">
        <v>28</v>
      </c>
      <c r="G30" t="s">
        <v>31</v>
      </c>
      <c r="H30">
        <v>4</v>
      </c>
      <c r="I30" s="4">
        <v>2820</v>
      </c>
      <c r="J30" s="4">
        <v>2259</v>
      </c>
      <c r="K30" s="4">
        <f>Table1[[#This Row],[S.P / UNIT]]*Table1[[#This Row],[Units Sold]]</f>
        <v>11280</v>
      </c>
      <c r="L30" s="4">
        <f>Table1[[#This Row],[C.P / UNIT]]*Table1[[#This Row],[Units Sold]]</f>
        <v>9036</v>
      </c>
      <c r="M30" s="4">
        <f>Table1[[#This Row],[Sales Amount]]-Table1[[#This Row],[TOTAL COST WHEN BOUGHT]]</f>
        <v>2244</v>
      </c>
      <c r="N30" s="3">
        <f>Table1[[#This Row],[Profit]]/Table1[[#This Row],[Sales Amount]]</f>
        <v>0.19893617021276597</v>
      </c>
    </row>
    <row r="31" spans="1:14" x14ac:dyDescent="0.3">
      <c r="A31" s="7">
        <v>46101</v>
      </c>
      <c r="B31" t="s">
        <v>12</v>
      </c>
      <c r="C31" t="s">
        <v>17</v>
      </c>
      <c r="D31" t="s">
        <v>22</v>
      </c>
      <c r="E31" t="s">
        <v>24</v>
      </c>
      <c r="F31" t="s">
        <v>27</v>
      </c>
      <c r="G31" t="s">
        <v>31</v>
      </c>
      <c r="H31">
        <v>6</v>
      </c>
      <c r="I31" s="4">
        <v>11138</v>
      </c>
      <c r="J31" s="4">
        <v>7481</v>
      </c>
      <c r="K31" s="4">
        <f>Table1[[#This Row],[S.P / UNIT]]*Table1[[#This Row],[Units Sold]]</f>
        <v>66828</v>
      </c>
      <c r="L31" s="4">
        <f>Table1[[#This Row],[C.P / UNIT]]*Table1[[#This Row],[Units Sold]]</f>
        <v>44886</v>
      </c>
      <c r="M31" s="4">
        <f>Table1[[#This Row],[Sales Amount]]-Table1[[#This Row],[TOTAL COST WHEN BOUGHT]]</f>
        <v>21942</v>
      </c>
      <c r="N31" s="3">
        <f>Table1[[#This Row],[Profit]]/Table1[[#This Row],[Sales Amount]]</f>
        <v>0.32833542826360207</v>
      </c>
    </row>
    <row r="32" spans="1:14" x14ac:dyDescent="0.3">
      <c r="A32" s="7">
        <v>46132</v>
      </c>
      <c r="B32" t="s">
        <v>11</v>
      </c>
      <c r="C32" t="s">
        <v>16</v>
      </c>
      <c r="D32" t="s">
        <v>22</v>
      </c>
      <c r="E32" t="s">
        <v>25</v>
      </c>
      <c r="F32" t="s">
        <v>28</v>
      </c>
      <c r="G32" t="s">
        <v>32</v>
      </c>
      <c r="H32">
        <v>3</v>
      </c>
      <c r="I32" s="4">
        <v>17829</v>
      </c>
      <c r="J32" s="4">
        <v>13069</v>
      </c>
      <c r="K32" s="4">
        <f>Table1[[#This Row],[S.P / UNIT]]*Table1[[#This Row],[Units Sold]]</f>
        <v>53487</v>
      </c>
      <c r="L32" s="4">
        <f>Table1[[#This Row],[C.P / UNIT]]*Table1[[#This Row],[Units Sold]]</f>
        <v>39207</v>
      </c>
      <c r="M32" s="4">
        <f>Table1[[#This Row],[Sales Amount]]-Table1[[#This Row],[TOTAL COST WHEN BOUGHT]]</f>
        <v>14280</v>
      </c>
      <c r="N32" s="3">
        <f>Table1[[#This Row],[Profit]]/Table1[[#This Row],[Sales Amount]]</f>
        <v>0.2669807616804083</v>
      </c>
    </row>
    <row r="33" spans="1:14" x14ac:dyDescent="0.3">
      <c r="A33" s="7">
        <v>46084</v>
      </c>
      <c r="B33" t="s">
        <v>12</v>
      </c>
      <c r="C33" t="s">
        <v>17</v>
      </c>
      <c r="D33" t="s">
        <v>20</v>
      </c>
      <c r="E33" t="s">
        <v>26</v>
      </c>
      <c r="F33" t="s">
        <v>28</v>
      </c>
      <c r="G33" t="s">
        <v>32</v>
      </c>
      <c r="H33">
        <v>13</v>
      </c>
      <c r="I33" s="4">
        <v>10742</v>
      </c>
      <c r="J33" s="4">
        <v>8723</v>
      </c>
      <c r="K33" s="4">
        <f>Table1[[#This Row],[S.P / UNIT]]*Table1[[#This Row],[Units Sold]]</f>
        <v>139646</v>
      </c>
      <c r="L33" s="4">
        <f>Table1[[#This Row],[C.P / UNIT]]*Table1[[#This Row],[Units Sold]]</f>
        <v>113399</v>
      </c>
      <c r="M33" s="4">
        <f>Table1[[#This Row],[Sales Amount]]-Table1[[#This Row],[TOTAL COST WHEN BOUGHT]]</f>
        <v>26247</v>
      </c>
      <c r="N33" s="3">
        <f>Table1[[#This Row],[Profit]]/Table1[[#This Row],[Sales Amount]]</f>
        <v>0.18795382610314654</v>
      </c>
    </row>
    <row r="34" spans="1:14" x14ac:dyDescent="0.3">
      <c r="A34" s="7">
        <v>46095</v>
      </c>
      <c r="B34" t="s">
        <v>12</v>
      </c>
      <c r="C34" t="s">
        <v>17</v>
      </c>
      <c r="D34" t="s">
        <v>19</v>
      </c>
      <c r="E34" t="s">
        <v>26</v>
      </c>
      <c r="F34" t="s">
        <v>27</v>
      </c>
      <c r="G34" t="s">
        <v>30</v>
      </c>
      <c r="H34">
        <v>6</v>
      </c>
      <c r="I34" s="4">
        <v>3667</v>
      </c>
      <c r="J34" s="4">
        <v>2486</v>
      </c>
      <c r="K34" s="4">
        <f>Table1[[#This Row],[S.P / UNIT]]*Table1[[#This Row],[Units Sold]]</f>
        <v>22002</v>
      </c>
      <c r="L34" s="4">
        <f>Table1[[#This Row],[C.P / UNIT]]*Table1[[#This Row],[Units Sold]]</f>
        <v>14916</v>
      </c>
      <c r="M34" s="4">
        <f>Table1[[#This Row],[Sales Amount]]-Table1[[#This Row],[TOTAL COST WHEN BOUGHT]]</f>
        <v>7086</v>
      </c>
      <c r="N34" s="3">
        <f>Table1[[#This Row],[Profit]]/Table1[[#This Row],[Sales Amount]]</f>
        <v>0.32206163076083993</v>
      </c>
    </row>
    <row r="35" spans="1:14" x14ac:dyDescent="0.3">
      <c r="A35" s="7">
        <v>46083</v>
      </c>
      <c r="B35" t="s">
        <v>12</v>
      </c>
      <c r="C35" t="s">
        <v>17</v>
      </c>
      <c r="D35" t="s">
        <v>19</v>
      </c>
      <c r="E35" t="s">
        <v>25</v>
      </c>
      <c r="F35" t="s">
        <v>29</v>
      </c>
      <c r="G35" t="s">
        <v>30</v>
      </c>
      <c r="H35">
        <v>12</v>
      </c>
      <c r="I35" s="4">
        <v>19451</v>
      </c>
      <c r="J35" s="4">
        <v>13524</v>
      </c>
      <c r="K35" s="4">
        <f>Table1[[#This Row],[S.P / UNIT]]*Table1[[#This Row],[Units Sold]]</f>
        <v>233412</v>
      </c>
      <c r="L35" s="4">
        <f>Table1[[#This Row],[C.P / UNIT]]*Table1[[#This Row],[Units Sold]]</f>
        <v>162288</v>
      </c>
      <c r="M35" s="4">
        <f>Table1[[#This Row],[Sales Amount]]-Table1[[#This Row],[TOTAL COST WHEN BOUGHT]]</f>
        <v>71124</v>
      </c>
      <c r="N35" s="3">
        <f>Table1[[#This Row],[Profit]]/Table1[[#This Row],[Sales Amount]]</f>
        <v>0.30471441057015064</v>
      </c>
    </row>
    <row r="36" spans="1:14" x14ac:dyDescent="0.3">
      <c r="A36" s="7">
        <v>46040</v>
      </c>
      <c r="B36" t="s">
        <v>11</v>
      </c>
      <c r="C36" t="s">
        <v>16</v>
      </c>
      <c r="D36" t="s">
        <v>22</v>
      </c>
      <c r="E36" t="s">
        <v>24</v>
      </c>
      <c r="F36" t="s">
        <v>28</v>
      </c>
      <c r="G36" t="s">
        <v>30</v>
      </c>
      <c r="H36">
        <v>15</v>
      </c>
      <c r="I36" s="4">
        <v>3665</v>
      </c>
      <c r="J36" s="4">
        <v>2700</v>
      </c>
      <c r="K36" s="4">
        <f>Table1[[#This Row],[S.P / UNIT]]*Table1[[#This Row],[Units Sold]]</f>
        <v>54975</v>
      </c>
      <c r="L36" s="4">
        <f>Table1[[#This Row],[C.P / UNIT]]*Table1[[#This Row],[Units Sold]]</f>
        <v>40500</v>
      </c>
      <c r="M36" s="4">
        <f>Table1[[#This Row],[Sales Amount]]-Table1[[#This Row],[TOTAL COST WHEN BOUGHT]]</f>
        <v>14475</v>
      </c>
      <c r="N36" s="3">
        <f>Table1[[#This Row],[Profit]]/Table1[[#This Row],[Sales Amount]]</f>
        <v>0.26330150068212826</v>
      </c>
    </row>
    <row r="37" spans="1:14" x14ac:dyDescent="0.3">
      <c r="A37" s="7">
        <v>46172</v>
      </c>
      <c r="B37" t="s">
        <v>12</v>
      </c>
      <c r="C37" t="s">
        <v>17</v>
      </c>
      <c r="D37" t="s">
        <v>22</v>
      </c>
      <c r="E37" t="s">
        <v>24</v>
      </c>
      <c r="F37" t="s">
        <v>28</v>
      </c>
      <c r="G37" t="s">
        <v>32</v>
      </c>
      <c r="H37">
        <v>6</v>
      </c>
      <c r="I37" s="4">
        <v>15491</v>
      </c>
      <c r="J37" s="4">
        <v>11718</v>
      </c>
      <c r="K37" s="4">
        <f>Table1[[#This Row],[S.P / UNIT]]*Table1[[#This Row],[Units Sold]]</f>
        <v>92946</v>
      </c>
      <c r="L37" s="4">
        <f>Table1[[#This Row],[C.P / UNIT]]*Table1[[#This Row],[Units Sold]]</f>
        <v>70308</v>
      </c>
      <c r="M37" s="4">
        <f>Table1[[#This Row],[Sales Amount]]-Table1[[#This Row],[TOTAL COST WHEN BOUGHT]]</f>
        <v>22638</v>
      </c>
      <c r="N37" s="3">
        <f>Table1[[#This Row],[Profit]]/Table1[[#This Row],[Sales Amount]]</f>
        <v>0.24356077722548578</v>
      </c>
    </row>
    <row r="38" spans="1:14" x14ac:dyDescent="0.3">
      <c r="A38" s="7">
        <v>46203</v>
      </c>
      <c r="B38" t="s">
        <v>13</v>
      </c>
      <c r="C38" t="s">
        <v>18</v>
      </c>
      <c r="D38" t="s">
        <v>22</v>
      </c>
      <c r="E38" t="s">
        <v>24</v>
      </c>
      <c r="F38" t="s">
        <v>29</v>
      </c>
      <c r="G38" t="s">
        <v>30</v>
      </c>
      <c r="H38">
        <v>9</v>
      </c>
      <c r="I38" s="4">
        <v>14035</v>
      </c>
      <c r="J38" s="4">
        <v>8503</v>
      </c>
      <c r="K38" s="4">
        <f>Table1[[#This Row],[S.P / UNIT]]*Table1[[#This Row],[Units Sold]]</f>
        <v>126315</v>
      </c>
      <c r="L38" s="4">
        <f>Table1[[#This Row],[C.P / UNIT]]*Table1[[#This Row],[Units Sold]]</f>
        <v>76527</v>
      </c>
      <c r="M38" s="4">
        <f>Table1[[#This Row],[Sales Amount]]-Table1[[#This Row],[TOTAL COST WHEN BOUGHT]]</f>
        <v>49788</v>
      </c>
      <c r="N38" s="3">
        <f>Table1[[#This Row],[Profit]]/Table1[[#This Row],[Sales Amount]]</f>
        <v>0.39415746348414676</v>
      </c>
    </row>
    <row r="39" spans="1:14" x14ac:dyDescent="0.3">
      <c r="A39" s="7">
        <v>46062</v>
      </c>
      <c r="B39" t="s">
        <v>15</v>
      </c>
      <c r="C39" t="s">
        <v>17</v>
      </c>
      <c r="D39" t="s">
        <v>21</v>
      </c>
      <c r="E39" t="s">
        <v>24</v>
      </c>
      <c r="F39" t="s">
        <v>28</v>
      </c>
      <c r="G39" t="s">
        <v>30</v>
      </c>
      <c r="H39">
        <v>1</v>
      </c>
      <c r="I39" s="4">
        <v>2156</v>
      </c>
      <c r="J39" s="4">
        <v>1805</v>
      </c>
      <c r="K39" s="4">
        <f>Table1[[#This Row],[S.P / UNIT]]*Table1[[#This Row],[Units Sold]]</f>
        <v>2156</v>
      </c>
      <c r="L39" s="4">
        <f>Table1[[#This Row],[C.P / UNIT]]*Table1[[#This Row],[Units Sold]]</f>
        <v>1805</v>
      </c>
      <c r="M39" s="4">
        <f>Table1[[#This Row],[Sales Amount]]-Table1[[#This Row],[TOTAL COST WHEN BOUGHT]]</f>
        <v>351</v>
      </c>
      <c r="N39" s="3">
        <f>Table1[[#This Row],[Profit]]/Table1[[#This Row],[Sales Amount]]</f>
        <v>0.16280148423005567</v>
      </c>
    </row>
    <row r="40" spans="1:14" x14ac:dyDescent="0.3">
      <c r="A40" s="7">
        <v>46111</v>
      </c>
      <c r="B40" t="s">
        <v>12</v>
      </c>
      <c r="C40" t="s">
        <v>17</v>
      </c>
      <c r="D40" t="s">
        <v>22</v>
      </c>
      <c r="E40" t="s">
        <v>26</v>
      </c>
      <c r="F40" t="s">
        <v>29</v>
      </c>
      <c r="G40" t="s">
        <v>30</v>
      </c>
      <c r="H40">
        <v>14</v>
      </c>
      <c r="I40" s="4">
        <v>16073</v>
      </c>
      <c r="J40" s="4">
        <v>9919</v>
      </c>
      <c r="K40" s="4">
        <f>Table1[[#This Row],[S.P / UNIT]]*Table1[[#This Row],[Units Sold]]</f>
        <v>225022</v>
      </c>
      <c r="L40" s="4">
        <f>Table1[[#This Row],[C.P / UNIT]]*Table1[[#This Row],[Units Sold]]</f>
        <v>138866</v>
      </c>
      <c r="M40" s="4">
        <f>Table1[[#This Row],[Sales Amount]]-Table1[[#This Row],[TOTAL COST WHEN BOUGHT]]</f>
        <v>86156</v>
      </c>
      <c r="N40" s="3">
        <f>Table1[[#This Row],[Profit]]/Table1[[#This Row],[Sales Amount]]</f>
        <v>0.3828781185839607</v>
      </c>
    </row>
    <row r="41" spans="1:14" x14ac:dyDescent="0.3">
      <c r="A41" s="7">
        <v>46148</v>
      </c>
      <c r="B41" t="s">
        <v>15</v>
      </c>
      <c r="C41" t="s">
        <v>17</v>
      </c>
      <c r="D41" t="s">
        <v>20</v>
      </c>
      <c r="E41" t="s">
        <v>25</v>
      </c>
      <c r="F41" t="s">
        <v>27</v>
      </c>
      <c r="G41" t="s">
        <v>31</v>
      </c>
      <c r="H41">
        <v>9</v>
      </c>
      <c r="I41" s="4">
        <v>1508</v>
      </c>
      <c r="J41" s="4">
        <v>1228</v>
      </c>
      <c r="K41" s="4">
        <f>Table1[[#This Row],[S.P / UNIT]]*Table1[[#This Row],[Units Sold]]</f>
        <v>13572</v>
      </c>
      <c r="L41" s="4">
        <f>Table1[[#This Row],[C.P / UNIT]]*Table1[[#This Row],[Units Sold]]</f>
        <v>11052</v>
      </c>
      <c r="M41" s="4">
        <f>Table1[[#This Row],[Sales Amount]]-Table1[[#This Row],[TOTAL COST WHEN BOUGHT]]</f>
        <v>2520</v>
      </c>
      <c r="N41" s="3">
        <f>Table1[[#This Row],[Profit]]/Table1[[#This Row],[Sales Amount]]</f>
        <v>0.1856763925729443</v>
      </c>
    </row>
    <row r="42" spans="1:14" x14ac:dyDescent="0.3">
      <c r="A42" s="7">
        <v>46039</v>
      </c>
      <c r="B42" t="s">
        <v>11</v>
      </c>
      <c r="C42" t="s">
        <v>16</v>
      </c>
      <c r="D42" t="s">
        <v>23</v>
      </c>
      <c r="E42" t="s">
        <v>26</v>
      </c>
      <c r="F42" t="s">
        <v>27</v>
      </c>
      <c r="G42" t="s">
        <v>32</v>
      </c>
      <c r="H42">
        <v>5</v>
      </c>
      <c r="I42" s="4">
        <v>6008</v>
      </c>
      <c r="J42" s="4">
        <v>4057</v>
      </c>
      <c r="K42" s="4">
        <f>Table1[[#This Row],[S.P / UNIT]]*Table1[[#This Row],[Units Sold]]</f>
        <v>30040</v>
      </c>
      <c r="L42" s="4">
        <f>Table1[[#This Row],[C.P / UNIT]]*Table1[[#This Row],[Units Sold]]</f>
        <v>20285</v>
      </c>
      <c r="M42" s="4">
        <f>Table1[[#This Row],[Sales Amount]]-Table1[[#This Row],[TOTAL COST WHEN BOUGHT]]</f>
        <v>9755</v>
      </c>
      <c r="N42" s="3">
        <f>Table1[[#This Row],[Profit]]/Table1[[#This Row],[Sales Amount]]</f>
        <v>0.32473368841544609</v>
      </c>
    </row>
    <row r="43" spans="1:14" x14ac:dyDescent="0.3">
      <c r="A43" s="7">
        <v>46154</v>
      </c>
      <c r="B43" t="s">
        <v>14</v>
      </c>
      <c r="C43" t="s">
        <v>18</v>
      </c>
      <c r="D43" t="s">
        <v>22</v>
      </c>
      <c r="E43" t="s">
        <v>26</v>
      </c>
      <c r="F43" t="s">
        <v>28</v>
      </c>
      <c r="G43" t="s">
        <v>31</v>
      </c>
      <c r="H43">
        <v>3</v>
      </c>
      <c r="I43" s="4">
        <v>1692</v>
      </c>
      <c r="J43" s="4">
        <v>1352</v>
      </c>
      <c r="K43" s="4">
        <f>Table1[[#This Row],[S.P / UNIT]]*Table1[[#This Row],[Units Sold]]</f>
        <v>5076</v>
      </c>
      <c r="L43" s="4">
        <f>Table1[[#This Row],[C.P / UNIT]]*Table1[[#This Row],[Units Sold]]</f>
        <v>4056</v>
      </c>
      <c r="M43" s="4">
        <f>Table1[[#This Row],[Sales Amount]]-Table1[[#This Row],[TOTAL COST WHEN BOUGHT]]</f>
        <v>1020</v>
      </c>
      <c r="N43" s="3">
        <f>Table1[[#This Row],[Profit]]/Table1[[#This Row],[Sales Amount]]</f>
        <v>0.20094562647754138</v>
      </c>
    </row>
    <row r="44" spans="1:14" x14ac:dyDescent="0.3">
      <c r="A44" s="7">
        <v>46027</v>
      </c>
      <c r="B44" t="s">
        <v>15</v>
      </c>
      <c r="C44" t="s">
        <v>17</v>
      </c>
      <c r="D44" t="s">
        <v>21</v>
      </c>
      <c r="E44" t="s">
        <v>26</v>
      </c>
      <c r="F44" t="s">
        <v>27</v>
      </c>
      <c r="G44" t="s">
        <v>32</v>
      </c>
      <c r="H44">
        <v>13</v>
      </c>
      <c r="I44" s="4">
        <v>7317</v>
      </c>
      <c r="J44" s="4">
        <v>4891</v>
      </c>
      <c r="K44" s="4">
        <f>Table1[[#This Row],[S.P / UNIT]]*Table1[[#This Row],[Units Sold]]</f>
        <v>95121</v>
      </c>
      <c r="L44" s="4">
        <f>Table1[[#This Row],[C.P / UNIT]]*Table1[[#This Row],[Units Sold]]</f>
        <v>63583</v>
      </c>
      <c r="M44" s="4">
        <f>Table1[[#This Row],[Sales Amount]]-Table1[[#This Row],[TOTAL COST WHEN BOUGHT]]</f>
        <v>31538</v>
      </c>
      <c r="N44" s="3">
        <f>Table1[[#This Row],[Profit]]/Table1[[#This Row],[Sales Amount]]</f>
        <v>0.33155664889982234</v>
      </c>
    </row>
    <row r="45" spans="1:14" x14ac:dyDescent="0.3">
      <c r="A45" s="7">
        <v>46040</v>
      </c>
      <c r="B45" t="s">
        <v>13</v>
      </c>
      <c r="C45" t="s">
        <v>18</v>
      </c>
      <c r="D45" t="s">
        <v>19</v>
      </c>
      <c r="E45" t="s">
        <v>24</v>
      </c>
      <c r="F45" t="s">
        <v>27</v>
      </c>
      <c r="G45" t="s">
        <v>31</v>
      </c>
      <c r="H45">
        <v>2</v>
      </c>
      <c r="I45" s="4">
        <v>7703</v>
      </c>
      <c r="J45" s="4">
        <v>5731</v>
      </c>
      <c r="K45" s="4">
        <f>Table1[[#This Row],[S.P / UNIT]]*Table1[[#This Row],[Units Sold]]</f>
        <v>15406</v>
      </c>
      <c r="L45" s="4">
        <f>Table1[[#This Row],[C.P / UNIT]]*Table1[[#This Row],[Units Sold]]</f>
        <v>11462</v>
      </c>
      <c r="M45" s="4">
        <f>Table1[[#This Row],[Sales Amount]]-Table1[[#This Row],[TOTAL COST WHEN BOUGHT]]</f>
        <v>3944</v>
      </c>
      <c r="N45" s="3">
        <f>Table1[[#This Row],[Profit]]/Table1[[#This Row],[Sales Amount]]</f>
        <v>0.25600415422562639</v>
      </c>
    </row>
    <row r="46" spans="1:14" x14ac:dyDescent="0.3">
      <c r="A46" s="7">
        <v>46051</v>
      </c>
      <c r="B46" t="s">
        <v>12</v>
      </c>
      <c r="C46" t="s">
        <v>17</v>
      </c>
      <c r="D46" t="s">
        <v>22</v>
      </c>
      <c r="E46" t="s">
        <v>24</v>
      </c>
      <c r="F46" t="s">
        <v>28</v>
      </c>
      <c r="G46" t="s">
        <v>32</v>
      </c>
      <c r="H46">
        <v>4</v>
      </c>
      <c r="I46" s="4">
        <v>3253</v>
      </c>
      <c r="J46" s="4">
        <v>2725</v>
      </c>
      <c r="K46" s="4">
        <f>Table1[[#This Row],[S.P / UNIT]]*Table1[[#This Row],[Units Sold]]</f>
        <v>13012</v>
      </c>
      <c r="L46" s="4">
        <f>Table1[[#This Row],[C.P / UNIT]]*Table1[[#This Row],[Units Sold]]</f>
        <v>10900</v>
      </c>
      <c r="M46" s="4">
        <f>Table1[[#This Row],[Sales Amount]]-Table1[[#This Row],[TOTAL COST WHEN BOUGHT]]</f>
        <v>2112</v>
      </c>
      <c r="N46" s="3">
        <f>Table1[[#This Row],[Profit]]/Table1[[#This Row],[Sales Amount]]</f>
        <v>0.16231171226560098</v>
      </c>
    </row>
    <row r="47" spans="1:14" x14ac:dyDescent="0.3">
      <c r="A47" s="7">
        <v>46102</v>
      </c>
      <c r="B47" t="s">
        <v>12</v>
      </c>
      <c r="C47" t="s">
        <v>17</v>
      </c>
      <c r="D47" t="s">
        <v>22</v>
      </c>
      <c r="E47" t="s">
        <v>24</v>
      </c>
      <c r="F47" t="s">
        <v>29</v>
      </c>
      <c r="G47" t="s">
        <v>30</v>
      </c>
      <c r="H47">
        <v>9</v>
      </c>
      <c r="I47" s="4">
        <v>16353</v>
      </c>
      <c r="J47" s="4">
        <v>11788</v>
      </c>
      <c r="K47" s="4">
        <f>Table1[[#This Row],[S.P / UNIT]]*Table1[[#This Row],[Units Sold]]</f>
        <v>147177</v>
      </c>
      <c r="L47" s="4">
        <f>Table1[[#This Row],[C.P / UNIT]]*Table1[[#This Row],[Units Sold]]</f>
        <v>106092</v>
      </c>
      <c r="M47" s="4">
        <f>Table1[[#This Row],[Sales Amount]]-Table1[[#This Row],[TOTAL COST WHEN BOUGHT]]</f>
        <v>41085</v>
      </c>
      <c r="N47" s="3">
        <f>Table1[[#This Row],[Profit]]/Table1[[#This Row],[Sales Amount]]</f>
        <v>0.27915367210909314</v>
      </c>
    </row>
    <row r="48" spans="1:14" x14ac:dyDescent="0.3">
      <c r="A48" s="7">
        <v>46066</v>
      </c>
      <c r="B48" t="s">
        <v>12</v>
      </c>
      <c r="C48" t="s">
        <v>17</v>
      </c>
      <c r="D48" t="s">
        <v>20</v>
      </c>
      <c r="E48" t="s">
        <v>25</v>
      </c>
      <c r="F48" t="s">
        <v>28</v>
      </c>
      <c r="G48" t="s">
        <v>30</v>
      </c>
      <c r="H48">
        <v>1</v>
      </c>
      <c r="I48" s="4">
        <v>14351</v>
      </c>
      <c r="J48" s="4">
        <v>10033</v>
      </c>
      <c r="K48" s="4">
        <f>Table1[[#This Row],[S.P / UNIT]]*Table1[[#This Row],[Units Sold]]</f>
        <v>14351</v>
      </c>
      <c r="L48" s="4">
        <f>Table1[[#This Row],[C.P / UNIT]]*Table1[[#This Row],[Units Sold]]</f>
        <v>10033</v>
      </c>
      <c r="M48" s="4">
        <f>Table1[[#This Row],[Sales Amount]]-Table1[[#This Row],[TOTAL COST WHEN BOUGHT]]</f>
        <v>4318</v>
      </c>
      <c r="N48" s="3">
        <f>Table1[[#This Row],[Profit]]/Table1[[#This Row],[Sales Amount]]</f>
        <v>0.30088495575221241</v>
      </c>
    </row>
    <row r="49" spans="1:14" x14ac:dyDescent="0.3">
      <c r="A49" s="7">
        <v>46196</v>
      </c>
      <c r="B49" t="s">
        <v>11</v>
      </c>
      <c r="C49" t="s">
        <v>16</v>
      </c>
      <c r="D49" t="s">
        <v>22</v>
      </c>
      <c r="E49" t="s">
        <v>26</v>
      </c>
      <c r="F49" t="s">
        <v>28</v>
      </c>
      <c r="G49" t="s">
        <v>32</v>
      </c>
      <c r="H49">
        <v>2</v>
      </c>
      <c r="I49" s="4">
        <v>14080</v>
      </c>
      <c r="J49" s="4">
        <v>10944</v>
      </c>
      <c r="K49" s="4">
        <f>Table1[[#This Row],[S.P / UNIT]]*Table1[[#This Row],[Units Sold]]</f>
        <v>28160</v>
      </c>
      <c r="L49" s="4">
        <f>Table1[[#This Row],[C.P / UNIT]]*Table1[[#This Row],[Units Sold]]</f>
        <v>21888</v>
      </c>
      <c r="M49" s="4">
        <f>Table1[[#This Row],[Sales Amount]]-Table1[[#This Row],[TOTAL COST WHEN BOUGHT]]</f>
        <v>6272</v>
      </c>
      <c r="N49" s="3">
        <f>Table1[[#This Row],[Profit]]/Table1[[#This Row],[Sales Amount]]</f>
        <v>0.22272727272727272</v>
      </c>
    </row>
    <row r="50" spans="1:14" x14ac:dyDescent="0.3">
      <c r="A50" s="7">
        <v>46167</v>
      </c>
      <c r="B50" t="s">
        <v>13</v>
      </c>
      <c r="C50" t="s">
        <v>18</v>
      </c>
      <c r="D50" t="s">
        <v>22</v>
      </c>
      <c r="E50" t="s">
        <v>24</v>
      </c>
      <c r="F50" t="s">
        <v>28</v>
      </c>
      <c r="G50" t="s">
        <v>31</v>
      </c>
      <c r="H50">
        <v>15</v>
      </c>
      <c r="I50" s="4">
        <v>4773</v>
      </c>
      <c r="J50" s="4">
        <v>3800</v>
      </c>
      <c r="K50" s="4">
        <f>Table1[[#This Row],[S.P / UNIT]]*Table1[[#This Row],[Units Sold]]</f>
        <v>71595</v>
      </c>
      <c r="L50" s="4">
        <f>Table1[[#This Row],[C.P / UNIT]]*Table1[[#This Row],[Units Sold]]</f>
        <v>57000</v>
      </c>
      <c r="M50" s="4">
        <f>Table1[[#This Row],[Sales Amount]]-Table1[[#This Row],[TOTAL COST WHEN BOUGHT]]</f>
        <v>14595</v>
      </c>
      <c r="N50" s="3">
        <f>Table1[[#This Row],[Profit]]/Table1[[#This Row],[Sales Amount]]</f>
        <v>0.20385501780850618</v>
      </c>
    </row>
    <row r="51" spans="1:14" x14ac:dyDescent="0.3">
      <c r="A51" s="7">
        <v>46172</v>
      </c>
      <c r="B51" t="s">
        <v>12</v>
      </c>
      <c r="C51" t="s">
        <v>17</v>
      </c>
      <c r="D51" t="s">
        <v>23</v>
      </c>
      <c r="E51" t="s">
        <v>26</v>
      </c>
      <c r="F51" t="s">
        <v>29</v>
      </c>
      <c r="G51" t="s">
        <v>32</v>
      </c>
      <c r="H51">
        <v>9</v>
      </c>
      <c r="I51" s="4">
        <v>13260</v>
      </c>
      <c r="J51" s="4">
        <v>9208</v>
      </c>
      <c r="K51" s="4">
        <f>Table1[[#This Row],[S.P / UNIT]]*Table1[[#This Row],[Units Sold]]</f>
        <v>119340</v>
      </c>
      <c r="L51" s="4">
        <f>Table1[[#This Row],[C.P / UNIT]]*Table1[[#This Row],[Units Sold]]</f>
        <v>82872</v>
      </c>
      <c r="M51" s="4">
        <f>Table1[[#This Row],[Sales Amount]]-Table1[[#This Row],[TOTAL COST WHEN BOUGHT]]</f>
        <v>36468</v>
      </c>
      <c r="N51" s="3">
        <f>Table1[[#This Row],[Profit]]/Table1[[#This Row],[Sales Amount]]</f>
        <v>0.30558069381598796</v>
      </c>
    </row>
    <row r="52" spans="1:14" x14ac:dyDescent="0.3">
      <c r="A52" s="7">
        <v>46175</v>
      </c>
      <c r="B52" t="s">
        <v>15</v>
      </c>
      <c r="C52" t="s">
        <v>17</v>
      </c>
      <c r="D52" t="s">
        <v>20</v>
      </c>
      <c r="E52" t="s">
        <v>24</v>
      </c>
      <c r="F52" t="s">
        <v>29</v>
      </c>
      <c r="G52" t="s">
        <v>31</v>
      </c>
      <c r="H52">
        <v>10</v>
      </c>
      <c r="I52" s="4">
        <v>1691</v>
      </c>
      <c r="J52" s="4">
        <v>1267</v>
      </c>
      <c r="K52" s="4">
        <f>Table1[[#This Row],[S.P / UNIT]]*Table1[[#This Row],[Units Sold]]</f>
        <v>16910</v>
      </c>
      <c r="L52" s="4">
        <f>Table1[[#This Row],[C.P / UNIT]]*Table1[[#This Row],[Units Sold]]</f>
        <v>12670</v>
      </c>
      <c r="M52" s="4">
        <f>Table1[[#This Row],[Sales Amount]]-Table1[[#This Row],[TOTAL COST WHEN BOUGHT]]</f>
        <v>4240</v>
      </c>
      <c r="N52" s="3">
        <f>Table1[[#This Row],[Profit]]/Table1[[#This Row],[Sales Amount]]</f>
        <v>0.25073920756948553</v>
      </c>
    </row>
    <row r="53" spans="1:14" x14ac:dyDescent="0.3">
      <c r="A53" s="7">
        <v>46086</v>
      </c>
      <c r="B53" t="s">
        <v>14</v>
      </c>
      <c r="C53" t="s">
        <v>18</v>
      </c>
      <c r="D53" t="s">
        <v>21</v>
      </c>
      <c r="E53" t="s">
        <v>25</v>
      </c>
      <c r="F53" t="s">
        <v>27</v>
      </c>
      <c r="G53" t="s">
        <v>30</v>
      </c>
      <c r="H53">
        <v>8</v>
      </c>
      <c r="I53" s="4">
        <v>15317</v>
      </c>
      <c r="J53" s="4">
        <v>12324</v>
      </c>
      <c r="K53" s="4">
        <f>Table1[[#This Row],[S.P / UNIT]]*Table1[[#This Row],[Units Sold]]</f>
        <v>122536</v>
      </c>
      <c r="L53" s="4">
        <f>Table1[[#This Row],[C.P / UNIT]]*Table1[[#This Row],[Units Sold]]</f>
        <v>98592</v>
      </c>
      <c r="M53" s="4">
        <f>Table1[[#This Row],[Sales Amount]]-Table1[[#This Row],[TOTAL COST WHEN BOUGHT]]</f>
        <v>23944</v>
      </c>
      <c r="N53" s="3">
        <f>Table1[[#This Row],[Profit]]/Table1[[#This Row],[Sales Amount]]</f>
        <v>0.19540379969968008</v>
      </c>
    </row>
    <row r="54" spans="1:14" x14ac:dyDescent="0.3">
      <c r="A54" s="7">
        <v>46062</v>
      </c>
      <c r="B54" t="s">
        <v>12</v>
      </c>
      <c r="C54" t="s">
        <v>17</v>
      </c>
      <c r="D54" t="s">
        <v>19</v>
      </c>
      <c r="E54" t="s">
        <v>26</v>
      </c>
      <c r="F54" t="s">
        <v>27</v>
      </c>
      <c r="G54" t="s">
        <v>30</v>
      </c>
      <c r="H54">
        <v>1</v>
      </c>
      <c r="I54" s="4">
        <v>10429</v>
      </c>
      <c r="J54" s="4">
        <v>7342</v>
      </c>
      <c r="K54" s="4">
        <f>Table1[[#This Row],[S.P / UNIT]]*Table1[[#This Row],[Units Sold]]</f>
        <v>10429</v>
      </c>
      <c r="L54" s="4">
        <f>Table1[[#This Row],[C.P / UNIT]]*Table1[[#This Row],[Units Sold]]</f>
        <v>7342</v>
      </c>
      <c r="M54" s="4">
        <f>Table1[[#This Row],[Sales Amount]]-Table1[[#This Row],[TOTAL COST WHEN BOUGHT]]</f>
        <v>3087</v>
      </c>
      <c r="N54" s="3">
        <f>Table1[[#This Row],[Profit]]/Table1[[#This Row],[Sales Amount]]</f>
        <v>0.2960015341835267</v>
      </c>
    </row>
    <row r="55" spans="1:14" x14ac:dyDescent="0.3">
      <c r="A55" s="7">
        <v>46073</v>
      </c>
      <c r="B55" t="s">
        <v>11</v>
      </c>
      <c r="C55" t="s">
        <v>16</v>
      </c>
      <c r="D55" t="s">
        <v>22</v>
      </c>
      <c r="E55" t="s">
        <v>26</v>
      </c>
      <c r="F55" t="s">
        <v>29</v>
      </c>
      <c r="G55" t="s">
        <v>32</v>
      </c>
      <c r="H55">
        <v>13</v>
      </c>
      <c r="I55" s="4">
        <v>10478</v>
      </c>
      <c r="J55" s="4">
        <v>7766</v>
      </c>
      <c r="K55" s="4">
        <f>Table1[[#This Row],[S.P / UNIT]]*Table1[[#This Row],[Units Sold]]</f>
        <v>136214</v>
      </c>
      <c r="L55" s="4">
        <f>Table1[[#This Row],[C.P / UNIT]]*Table1[[#This Row],[Units Sold]]</f>
        <v>100958</v>
      </c>
      <c r="M55" s="4">
        <f>Table1[[#This Row],[Sales Amount]]-Table1[[#This Row],[TOTAL COST WHEN BOUGHT]]</f>
        <v>35256</v>
      </c>
      <c r="N55" s="3">
        <f>Table1[[#This Row],[Profit]]/Table1[[#This Row],[Sales Amount]]</f>
        <v>0.25882802061462112</v>
      </c>
    </row>
    <row r="56" spans="1:14" x14ac:dyDescent="0.3">
      <c r="A56" s="7">
        <v>46140</v>
      </c>
      <c r="B56" t="s">
        <v>13</v>
      </c>
      <c r="C56" t="s">
        <v>18</v>
      </c>
      <c r="D56" t="s">
        <v>23</v>
      </c>
      <c r="E56" t="s">
        <v>26</v>
      </c>
      <c r="F56" t="s">
        <v>29</v>
      </c>
      <c r="G56" t="s">
        <v>32</v>
      </c>
      <c r="H56">
        <v>8</v>
      </c>
      <c r="I56" s="4">
        <v>6804</v>
      </c>
      <c r="J56" s="4">
        <v>5030</v>
      </c>
      <c r="K56" s="4">
        <f>Table1[[#This Row],[S.P / UNIT]]*Table1[[#This Row],[Units Sold]]</f>
        <v>54432</v>
      </c>
      <c r="L56" s="4">
        <f>Table1[[#This Row],[C.P / UNIT]]*Table1[[#This Row],[Units Sold]]</f>
        <v>40240</v>
      </c>
      <c r="M56" s="4">
        <f>Table1[[#This Row],[Sales Amount]]-Table1[[#This Row],[TOTAL COST WHEN BOUGHT]]</f>
        <v>14192</v>
      </c>
      <c r="N56" s="3">
        <f>Table1[[#This Row],[Profit]]/Table1[[#This Row],[Sales Amount]]</f>
        <v>0.26072898295120517</v>
      </c>
    </row>
    <row r="57" spans="1:14" x14ac:dyDescent="0.3">
      <c r="A57" s="7">
        <v>46093</v>
      </c>
      <c r="B57" t="s">
        <v>14</v>
      </c>
      <c r="C57" t="s">
        <v>18</v>
      </c>
      <c r="D57" t="s">
        <v>22</v>
      </c>
      <c r="E57" t="s">
        <v>26</v>
      </c>
      <c r="F57" t="s">
        <v>29</v>
      </c>
      <c r="G57" t="s">
        <v>32</v>
      </c>
      <c r="H57">
        <v>3</v>
      </c>
      <c r="I57" s="4">
        <v>8988</v>
      </c>
      <c r="J57" s="4">
        <v>6678</v>
      </c>
      <c r="K57" s="4">
        <f>Table1[[#This Row],[S.P / UNIT]]*Table1[[#This Row],[Units Sold]]</f>
        <v>26964</v>
      </c>
      <c r="L57" s="4">
        <f>Table1[[#This Row],[C.P / UNIT]]*Table1[[#This Row],[Units Sold]]</f>
        <v>20034</v>
      </c>
      <c r="M57" s="4">
        <f>Table1[[#This Row],[Sales Amount]]-Table1[[#This Row],[TOTAL COST WHEN BOUGHT]]</f>
        <v>6930</v>
      </c>
      <c r="N57" s="3">
        <f>Table1[[#This Row],[Profit]]/Table1[[#This Row],[Sales Amount]]</f>
        <v>0.2570093457943925</v>
      </c>
    </row>
    <row r="58" spans="1:14" x14ac:dyDescent="0.3">
      <c r="A58" s="7">
        <v>46038</v>
      </c>
      <c r="B58" t="s">
        <v>12</v>
      </c>
      <c r="C58" t="s">
        <v>17</v>
      </c>
      <c r="D58" t="s">
        <v>20</v>
      </c>
      <c r="E58" t="s">
        <v>25</v>
      </c>
      <c r="F58" t="s">
        <v>29</v>
      </c>
      <c r="G58" t="s">
        <v>30</v>
      </c>
      <c r="H58">
        <v>8</v>
      </c>
      <c r="I58" s="4">
        <v>2493</v>
      </c>
      <c r="J58" s="4">
        <v>1832</v>
      </c>
      <c r="K58" s="4">
        <f>Table1[[#This Row],[S.P / UNIT]]*Table1[[#This Row],[Units Sold]]</f>
        <v>19944</v>
      </c>
      <c r="L58" s="4">
        <f>Table1[[#This Row],[C.P / UNIT]]*Table1[[#This Row],[Units Sold]]</f>
        <v>14656</v>
      </c>
      <c r="M58" s="4">
        <f>Table1[[#This Row],[Sales Amount]]-Table1[[#This Row],[TOTAL COST WHEN BOUGHT]]</f>
        <v>5288</v>
      </c>
      <c r="N58" s="3">
        <f>Table1[[#This Row],[Profit]]/Table1[[#This Row],[Sales Amount]]</f>
        <v>0.26514239871640594</v>
      </c>
    </row>
    <row r="59" spans="1:14" x14ac:dyDescent="0.3">
      <c r="A59" s="7">
        <v>46179</v>
      </c>
      <c r="B59" t="s">
        <v>12</v>
      </c>
      <c r="C59" t="s">
        <v>17</v>
      </c>
      <c r="D59" t="s">
        <v>23</v>
      </c>
      <c r="E59" t="s">
        <v>24</v>
      </c>
      <c r="F59" t="s">
        <v>27</v>
      </c>
      <c r="G59" t="s">
        <v>30</v>
      </c>
      <c r="H59">
        <v>4</v>
      </c>
      <c r="I59" s="4">
        <v>11485</v>
      </c>
      <c r="J59" s="4">
        <v>7109</v>
      </c>
      <c r="K59" s="4">
        <f>Table1[[#This Row],[S.P / UNIT]]*Table1[[#This Row],[Units Sold]]</f>
        <v>45940</v>
      </c>
      <c r="L59" s="4">
        <f>Table1[[#This Row],[C.P / UNIT]]*Table1[[#This Row],[Units Sold]]</f>
        <v>28436</v>
      </c>
      <c r="M59" s="4">
        <f>Table1[[#This Row],[Sales Amount]]-Table1[[#This Row],[TOTAL COST WHEN BOUGHT]]</f>
        <v>17504</v>
      </c>
      <c r="N59" s="3">
        <f>Table1[[#This Row],[Profit]]/Table1[[#This Row],[Sales Amount]]</f>
        <v>0.38101872006965609</v>
      </c>
    </row>
    <row r="60" spans="1:14" x14ac:dyDescent="0.3">
      <c r="A60" s="7">
        <v>46141</v>
      </c>
      <c r="B60" t="s">
        <v>13</v>
      </c>
      <c r="C60" t="s">
        <v>18</v>
      </c>
      <c r="D60" t="s">
        <v>21</v>
      </c>
      <c r="E60" t="s">
        <v>24</v>
      </c>
      <c r="F60" t="s">
        <v>28</v>
      </c>
      <c r="G60" t="s">
        <v>32</v>
      </c>
      <c r="H60">
        <v>11</v>
      </c>
      <c r="I60" s="4">
        <v>9121</v>
      </c>
      <c r="J60" s="4">
        <v>6733</v>
      </c>
      <c r="K60" s="4">
        <f>Table1[[#This Row],[S.P / UNIT]]*Table1[[#This Row],[Units Sold]]</f>
        <v>100331</v>
      </c>
      <c r="L60" s="4">
        <f>Table1[[#This Row],[C.P / UNIT]]*Table1[[#This Row],[Units Sold]]</f>
        <v>74063</v>
      </c>
      <c r="M60" s="4">
        <f>Table1[[#This Row],[Sales Amount]]-Table1[[#This Row],[TOTAL COST WHEN BOUGHT]]</f>
        <v>26268</v>
      </c>
      <c r="N60" s="3">
        <f>Table1[[#This Row],[Profit]]/Table1[[#This Row],[Sales Amount]]</f>
        <v>0.26181339765376604</v>
      </c>
    </row>
    <row r="61" spans="1:14" x14ac:dyDescent="0.3">
      <c r="A61" s="7">
        <v>46033</v>
      </c>
      <c r="B61" t="s">
        <v>14</v>
      </c>
      <c r="C61" t="s">
        <v>18</v>
      </c>
      <c r="D61" t="s">
        <v>22</v>
      </c>
      <c r="E61" t="s">
        <v>25</v>
      </c>
      <c r="F61" t="s">
        <v>29</v>
      </c>
      <c r="G61" t="s">
        <v>30</v>
      </c>
      <c r="H61">
        <v>2</v>
      </c>
      <c r="I61" s="4">
        <v>19728</v>
      </c>
      <c r="J61" s="4">
        <v>12099</v>
      </c>
      <c r="K61" s="4">
        <f>Table1[[#This Row],[S.P / UNIT]]*Table1[[#This Row],[Units Sold]]</f>
        <v>39456</v>
      </c>
      <c r="L61" s="4">
        <f>Table1[[#This Row],[C.P / UNIT]]*Table1[[#This Row],[Units Sold]]</f>
        <v>24198</v>
      </c>
      <c r="M61" s="4">
        <f>Table1[[#This Row],[Sales Amount]]-Table1[[#This Row],[TOTAL COST WHEN BOUGHT]]</f>
        <v>15258</v>
      </c>
      <c r="N61" s="3">
        <f>Table1[[#This Row],[Profit]]/Table1[[#This Row],[Sales Amount]]</f>
        <v>0.38670924574209248</v>
      </c>
    </row>
    <row r="62" spans="1:14" x14ac:dyDescent="0.3">
      <c r="A62" s="7">
        <v>46112</v>
      </c>
      <c r="B62" t="s">
        <v>12</v>
      </c>
      <c r="C62" t="s">
        <v>17</v>
      </c>
      <c r="D62" t="s">
        <v>20</v>
      </c>
      <c r="E62" t="s">
        <v>26</v>
      </c>
      <c r="F62" t="s">
        <v>27</v>
      </c>
      <c r="G62" t="s">
        <v>32</v>
      </c>
      <c r="H62">
        <v>13</v>
      </c>
      <c r="I62" s="4">
        <v>6750</v>
      </c>
      <c r="J62" s="4">
        <v>4058</v>
      </c>
      <c r="K62" s="4">
        <f>Table1[[#This Row],[S.P / UNIT]]*Table1[[#This Row],[Units Sold]]</f>
        <v>87750</v>
      </c>
      <c r="L62" s="4">
        <f>Table1[[#This Row],[C.P / UNIT]]*Table1[[#This Row],[Units Sold]]</f>
        <v>52754</v>
      </c>
      <c r="M62" s="4">
        <f>Table1[[#This Row],[Sales Amount]]-Table1[[#This Row],[TOTAL COST WHEN BOUGHT]]</f>
        <v>34996</v>
      </c>
      <c r="N62" s="3">
        <f>Table1[[#This Row],[Profit]]/Table1[[#This Row],[Sales Amount]]</f>
        <v>0.39881481481481479</v>
      </c>
    </row>
    <row r="63" spans="1:14" x14ac:dyDescent="0.3">
      <c r="A63" s="7">
        <v>46190</v>
      </c>
      <c r="B63" t="s">
        <v>13</v>
      </c>
      <c r="C63" t="s">
        <v>18</v>
      </c>
      <c r="D63" t="s">
        <v>21</v>
      </c>
      <c r="E63" t="s">
        <v>24</v>
      </c>
      <c r="F63" t="s">
        <v>27</v>
      </c>
      <c r="G63" t="s">
        <v>32</v>
      </c>
      <c r="H63">
        <v>27</v>
      </c>
      <c r="I63" s="4">
        <v>7316</v>
      </c>
      <c r="J63" s="4">
        <v>5964</v>
      </c>
      <c r="K63" s="4">
        <f>Table1[[#This Row],[S.P / UNIT]]*Table1[[#This Row],[Units Sold]]</f>
        <v>197532</v>
      </c>
      <c r="L63" s="4">
        <f>Table1[[#This Row],[C.P / UNIT]]*Table1[[#This Row],[Units Sold]]</f>
        <v>161028</v>
      </c>
      <c r="M63" s="4">
        <f>Table1[[#This Row],[Sales Amount]]-Table1[[#This Row],[TOTAL COST WHEN BOUGHT]]</f>
        <v>36504</v>
      </c>
      <c r="N63" s="3">
        <f>Table1[[#This Row],[Profit]]/Table1[[#This Row],[Sales Amount]]</f>
        <v>0.18480043739748497</v>
      </c>
    </row>
    <row r="64" spans="1:14" x14ac:dyDescent="0.3">
      <c r="A64" s="7">
        <v>46128</v>
      </c>
      <c r="B64" t="s">
        <v>11</v>
      </c>
      <c r="C64" t="s">
        <v>16</v>
      </c>
      <c r="D64" t="s">
        <v>20</v>
      </c>
      <c r="E64" t="s">
        <v>24</v>
      </c>
      <c r="F64" t="s">
        <v>29</v>
      </c>
      <c r="G64" t="s">
        <v>31</v>
      </c>
      <c r="H64">
        <v>9</v>
      </c>
      <c r="I64" s="4">
        <v>8243</v>
      </c>
      <c r="J64" s="4">
        <v>5114</v>
      </c>
      <c r="K64" s="4">
        <f>Table1[[#This Row],[S.P / UNIT]]*Table1[[#This Row],[Units Sold]]</f>
        <v>74187</v>
      </c>
      <c r="L64" s="4">
        <f>Table1[[#This Row],[C.P / UNIT]]*Table1[[#This Row],[Units Sold]]</f>
        <v>46026</v>
      </c>
      <c r="M64" s="4">
        <f>Table1[[#This Row],[Sales Amount]]-Table1[[#This Row],[TOTAL COST WHEN BOUGHT]]</f>
        <v>28161</v>
      </c>
      <c r="N64" s="3">
        <f>Table1[[#This Row],[Profit]]/Table1[[#This Row],[Sales Amount]]</f>
        <v>0.37959480771563753</v>
      </c>
    </row>
    <row r="65" spans="1:14" x14ac:dyDescent="0.3">
      <c r="A65" s="7">
        <v>46133</v>
      </c>
      <c r="B65" t="s">
        <v>12</v>
      </c>
      <c r="C65" t="s">
        <v>17</v>
      </c>
      <c r="D65" t="s">
        <v>20</v>
      </c>
      <c r="E65" t="s">
        <v>25</v>
      </c>
      <c r="F65" t="s">
        <v>28</v>
      </c>
      <c r="G65" t="s">
        <v>30</v>
      </c>
      <c r="H65">
        <v>1</v>
      </c>
      <c r="I65" s="4">
        <v>4506</v>
      </c>
      <c r="J65" s="4">
        <v>3419</v>
      </c>
      <c r="K65" s="4">
        <f>Table1[[#This Row],[S.P / UNIT]]*Table1[[#This Row],[Units Sold]]</f>
        <v>4506</v>
      </c>
      <c r="L65" s="4">
        <f>Table1[[#This Row],[C.P / UNIT]]*Table1[[#This Row],[Units Sold]]</f>
        <v>3419</v>
      </c>
      <c r="M65" s="4">
        <f>Table1[[#This Row],[Sales Amount]]-Table1[[#This Row],[TOTAL COST WHEN BOUGHT]]</f>
        <v>1087</v>
      </c>
      <c r="N65" s="3">
        <f>Table1[[#This Row],[Profit]]/Table1[[#This Row],[Sales Amount]]</f>
        <v>0.24123391034176653</v>
      </c>
    </row>
    <row r="66" spans="1:14" x14ac:dyDescent="0.3">
      <c r="A66" s="7">
        <v>46157</v>
      </c>
      <c r="B66" t="s">
        <v>15</v>
      </c>
      <c r="C66" t="s">
        <v>17</v>
      </c>
      <c r="D66" t="s">
        <v>23</v>
      </c>
      <c r="E66" t="s">
        <v>24</v>
      </c>
      <c r="F66" t="s">
        <v>28</v>
      </c>
      <c r="G66" t="s">
        <v>32</v>
      </c>
      <c r="H66">
        <v>100</v>
      </c>
      <c r="I66" s="4">
        <v>12820</v>
      </c>
      <c r="J66" s="4">
        <v>8772</v>
      </c>
      <c r="K66" s="4">
        <f>Table1[[#This Row],[S.P / UNIT]]*Table1[[#This Row],[Units Sold]]</f>
        <v>1282000</v>
      </c>
      <c r="L66" s="4">
        <f>Table1[[#This Row],[C.P / UNIT]]*Table1[[#This Row],[Units Sold]]</f>
        <v>877200</v>
      </c>
      <c r="M66" s="4">
        <f>Table1[[#This Row],[Sales Amount]]-Table1[[#This Row],[TOTAL COST WHEN BOUGHT]]</f>
        <v>404800</v>
      </c>
      <c r="N66" s="3">
        <f>Table1[[#This Row],[Profit]]/Table1[[#This Row],[Sales Amount]]</f>
        <v>0.31575663026521061</v>
      </c>
    </row>
    <row r="67" spans="1:14" x14ac:dyDescent="0.3">
      <c r="A67" s="7">
        <v>46173</v>
      </c>
      <c r="B67" t="s">
        <v>13</v>
      </c>
      <c r="C67" t="s">
        <v>18</v>
      </c>
      <c r="D67" t="s">
        <v>23</v>
      </c>
      <c r="E67" t="s">
        <v>25</v>
      </c>
      <c r="F67" t="s">
        <v>27</v>
      </c>
      <c r="G67" t="s">
        <v>32</v>
      </c>
      <c r="H67">
        <v>8</v>
      </c>
      <c r="I67" s="4">
        <v>4415</v>
      </c>
      <c r="J67" s="4">
        <v>3167</v>
      </c>
      <c r="K67" s="4">
        <f>Table1[[#This Row],[S.P / UNIT]]*Table1[[#This Row],[Units Sold]]</f>
        <v>35320</v>
      </c>
      <c r="L67" s="4">
        <f>Table1[[#This Row],[C.P / UNIT]]*Table1[[#This Row],[Units Sold]]</f>
        <v>25336</v>
      </c>
      <c r="M67" s="4">
        <f>Table1[[#This Row],[Sales Amount]]-Table1[[#This Row],[TOTAL COST WHEN BOUGHT]]</f>
        <v>9984</v>
      </c>
      <c r="N67" s="3">
        <f>Table1[[#This Row],[Profit]]/Table1[[#This Row],[Sales Amount]]</f>
        <v>0.28267270668176669</v>
      </c>
    </row>
    <row r="68" spans="1:14" x14ac:dyDescent="0.3">
      <c r="A68" s="7">
        <v>46095</v>
      </c>
      <c r="B68" t="s">
        <v>12</v>
      </c>
      <c r="C68" t="s">
        <v>17</v>
      </c>
      <c r="D68" t="s">
        <v>21</v>
      </c>
      <c r="E68" t="s">
        <v>25</v>
      </c>
      <c r="F68" t="s">
        <v>28</v>
      </c>
      <c r="G68" t="s">
        <v>30</v>
      </c>
      <c r="H68">
        <v>8</v>
      </c>
      <c r="I68" s="4">
        <v>4773</v>
      </c>
      <c r="J68" s="4">
        <v>3660</v>
      </c>
      <c r="K68" s="4">
        <f>Table1[[#This Row],[S.P / UNIT]]*Table1[[#This Row],[Units Sold]]</f>
        <v>38184</v>
      </c>
      <c r="L68" s="4">
        <f>Table1[[#This Row],[C.P / UNIT]]*Table1[[#This Row],[Units Sold]]</f>
        <v>29280</v>
      </c>
      <c r="M68" s="4">
        <f>Table1[[#This Row],[Sales Amount]]-Table1[[#This Row],[TOTAL COST WHEN BOUGHT]]</f>
        <v>8904</v>
      </c>
      <c r="N68" s="3">
        <f>Table1[[#This Row],[Profit]]/Table1[[#This Row],[Sales Amount]]</f>
        <v>0.23318667504714016</v>
      </c>
    </row>
    <row r="69" spans="1:14" x14ac:dyDescent="0.3">
      <c r="A69" s="7">
        <v>46049</v>
      </c>
      <c r="B69" t="s">
        <v>15</v>
      </c>
      <c r="C69" t="s">
        <v>17</v>
      </c>
      <c r="D69" t="s">
        <v>22</v>
      </c>
      <c r="E69" t="s">
        <v>24</v>
      </c>
      <c r="F69" t="s">
        <v>29</v>
      </c>
      <c r="G69" t="s">
        <v>30</v>
      </c>
      <c r="H69">
        <v>14</v>
      </c>
      <c r="I69" s="4">
        <v>8351</v>
      </c>
      <c r="J69" s="4">
        <v>6401</v>
      </c>
      <c r="K69" s="4">
        <f>Table1[[#This Row],[S.P / UNIT]]*Table1[[#This Row],[Units Sold]]</f>
        <v>116914</v>
      </c>
      <c r="L69" s="4">
        <f>Table1[[#This Row],[C.P / UNIT]]*Table1[[#This Row],[Units Sold]]</f>
        <v>89614</v>
      </c>
      <c r="M69" s="4">
        <f>Table1[[#This Row],[Sales Amount]]-Table1[[#This Row],[TOTAL COST WHEN BOUGHT]]</f>
        <v>27300</v>
      </c>
      <c r="N69" s="3">
        <f>Table1[[#This Row],[Profit]]/Table1[[#This Row],[Sales Amount]]</f>
        <v>0.23350496946473476</v>
      </c>
    </row>
    <row r="70" spans="1:14" x14ac:dyDescent="0.3">
      <c r="A70" s="7">
        <v>46066</v>
      </c>
      <c r="B70" t="s">
        <v>13</v>
      </c>
      <c r="C70" t="s">
        <v>18</v>
      </c>
      <c r="D70" t="s">
        <v>22</v>
      </c>
      <c r="E70" t="s">
        <v>24</v>
      </c>
      <c r="F70" t="s">
        <v>27</v>
      </c>
      <c r="G70" t="s">
        <v>30</v>
      </c>
      <c r="H70">
        <v>15</v>
      </c>
      <c r="I70" s="4">
        <v>8306</v>
      </c>
      <c r="J70" s="4">
        <v>6307</v>
      </c>
      <c r="K70" s="4">
        <f>Table1[[#This Row],[S.P / UNIT]]*Table1[[#This Row],[Units Sold]]</f>
        <v>124590</v>
      </c>
      <c r="L70" s="4">
        <f>Table1[[#This Row],[C.P / UNIT]]*Table1[[#This Row],[Units Sold]]</f>
        <v>94605</v>
      </c>
      <c r="M70" s="4">
        <f>Table1[[#This Row],[Sales Amount]]-Table1[[#This Row],[TOTAL COST WHEN BOUGHT]]</f>
        <v>29985</v>
      </c>
      <c r="N70" s="3">
        <f>Table1[[#This Row],[Profit]]/Table1[[#This Row],[Sales Amount]]</f>
        <v>0.24066939561762582</v>
      </c>
    </row>
    <row r="71" spans="1:14" x14ac:dyDescent="0.3">
      <c r="A71" s="7">
        <v>46156</v>
      </c>
      <c r="B71" t="s">
        <v>14</v>
      </c>
      <c r="C71" t="s">
        <v>18</v>
      </c>
      <c r="D71" t="s">
        <v>20</v>
      </c>
      <c r="E71" t="s">
        <v>25</v>
      </c>
      <c r="F71" t="s">
        <v>27</v>
      </c>
      <c r="G71" t="s">
        <v>30</v>
      </c>
      <c r="H71">
        <v>3</v>
      </c>
      <c r="I71" s="4">
        <v>13746</v>
      </c>
      <c r="J71" s="4">
        <v>8660</v>
      </c>
      <c r="K71" s="4">
        <f>Table1[[#This Row],[S.P / UNIT]]*Table1[[#This Row],[Units Sold]]</f>
        <v>41238</v>
      </c>
      <c r="L71" s="4">
        <f>Table1[[#This Row],[C.P / UNIT]]*Table1[[#This Row],[Units Sold]]</f>
        <v>25980</v>
      </c>
      <c r="M71" s="4">
        <f>Table1[[#This Row],[Sales Amount]]-Table1[[#This Row],[TOTAL COST WHEN BOUGHT]]</f>
        <v>15258</v>
      </c>
      <c r="N71" s="3">
        <f>Table1[[#This Row],[Profit]]/Table1[[#This Row],[Sales Amount]]</f>
        <v>0.36999854503128182</v>
      </c>
    </row>
    <row r="72" spans="1:14" x14ac:dyDescent="0.3">
      <c r="A72" s="7">
        <v>46159</v>
      </c>
      <c r="B72" t="s">
        <v>11</v>
      </c>
      <c r="C72" t="s">
        <v>16</v>
      </c>
      <c r="D72" t="s">
        <v>22</v>
      </c>
      <c r="E72" t="s">
        <v>25</v>
      </c>
      <c r="F72" t="s">
        <v>29</v>
      </c>
      <c r="G72" t="s">
        <v>32</v>
      </c>
      <c r="H72">
        <v>14</v>
      </c>
      <c r="I72" s="4">
        <v>6990</v>
      </c>
      <c r="J72" s="4">
        <v>5529</v>
      </c>
      <c r="K72" s="4">
        <f>Table1[[#This Row],[S.P / UNIT]]*Table1[[#This Row],[Units Sold]]</f>
        <v>97860</v>
      </c>
      <c r="L72" s="4">
        <f>Table1[[#This Row],[C.P / UNIT]]*Table1[[#This Row],[Units Sold]]</f>
        <v>77406</v>
      </c>
      <c r="M72" s="4">
        <f>Table1[[#This Row],[Sales Amount]]-Table1[[#This Row],[TOTAL COST WHEN BOUGHT]]</f>
        <v>20454</v>
      </c>
      <c r="N72" s="3">
        <f>Table1[[#This Row],[Profit]]/Table1[[#This Row],[Sales Amount]]</f>
        <v>0.20901287553648068</v>
      </c>
    </row>
    <row r="73" spans="1:14" x14ac:dyDescent="0.3">
      <c r="A73" s="7">
        <v>46163</v>
      </c>
      <c r="B73" t="s">
        <v>11</v>
      </c>
      <c r="C73" t="s">
        <v>16</v>
      </c>
      <c r="D73" t="s">
        <v>20</v>
      </c>
      <c r="E73" t="s">
        <v>25</v>
      </c>
      <c r="F73" t="s">
        <v>29</v>
      </c>
      <c r="G73" t="s">
        <v>31</v>
      </c>
      <c r="H73">
        <v>15</v>
      </c>
      <c r="I73" s="4">
        <v>2822</v>
      </c>
      <c r="J73" s="4">
        <v>2150</v>
      </c>
      <c r="K73" s="4">
        <f>Table1[[#This Row],[S.P / UNIT]]*Table1[[#This Row],[Units Sold]]</f>
        <v>42330</v>
      </c>
      <c r="L73" s="4">
        <f>Table1[[#This Row],[C.P / UNIT]]*Table1[[#This Row],[Units Sold]]</f>
        <v>32250</v>
      </c>
      <c r="M73" s="4">
        <f>Table1[[#This Row],[Sales Amount]]-Table1[[#This Row],[TOTAL COST WHEN BOUGHT]]</f>
        <v>10080</v>
      </c>
      <c r="N73" s="3">
        <f>Table1[[#This Row],[Profit]]/Table1[[#This Row],[Sales Amount]]</f>
        <v>0.23812898653437278</v>
      </c>
    </row>
    <row r="74" spans="1:14" x14ac:dyDescent="0.3">
      <c r="A74" s="7">
        <v>46150</v>
      </c>
      <c r="B74" t="s">
        <v>11</v>
      </c>
      <c r="C74" t="s">
        <v>16</v>
      </c>
      <c r="D74" t="s">
        <v>21</v>
      </c>
      <c r="E74" t="s">
        <v>25</v>
      </c>
      <c r="F74" t="s">
        <v>27</v>
      </c>
      <c r="G74" t="s">
        <v>30</v>
      </c>
      <c r="H74">
        <v>5</v>
      </c>
      <c r="I74" s="4">
        <v>10883</v>
      </c>
      <c r="J74" s="4">
        <v>8381</v>
      </c>
      <c r="K74" s="4">
        <f>Table1[[#This Row],[S.P / UNIT]]*Table1[[#This Row],[Units Sold]]</f>
        <v>54415</v>
      </c>
      <c r="L74" s="4">
        <f>Table1[[#This Row],[C.P / UNIT]]*Table1[[#This Row],[Units Sold]]</f>
        <v>41905</v>
      </c>
      <c r="M74" s="4">
        <f>Table1[[#This Row],[Sales Amount]]-Table1[[#This Row],[TOTAL COST WHEN BOUGHT]]</f>
        <v>12510</v>
      </c>
      <c r="N74" s="3">
        <f>Table1[[#This Row],[Profit]]/Table1[[#This Row],[Sales Amount]]</f>
        <v>0.22989984379307177</v>
      </c>
    </row>
    <row r="75" spans="1:14" x14ac:dyDescent="0.3">
      <c r="A75" s="7">
        <v>46128</v>
      </c>
      <c r="B75" t="s">
        <v>14</v>
      </c>
      <c r="C75" t="s">
        <v>18</v>
      </c>
      <c r="D75" t="s">
        <v>21</v>
      </c>
      <c r="E75" t="s">
        <v>25</v>
      </c>
      <c r="F75" t="s">
        <v>29</v>
      </c>
      <c r="G75" t="s">
        <v>32</v>
      </c>
      <c r="H75">
        <v>5</v>
      </c>
      <c r="I75" s="4">
        <v>6419</v>
      </c>
      <c r="J75" s="4">
        <v>5026</v>
      </c>
      <c r="K75" s="4">
        <f>Table1[[#This Row],[S.P / UNIT]]*Table1[[#This Row],[Units Sold]]</f>
        <v>32095</v>
      </c>
      <c r="L75" s="4">
        <f>Table1[[#This Row],[C.P / UNIT]]*Table1[[#This Row],[Units Sold]]</f>
        <v>25130</v>
      </c>
      <c r="M75" s="4">
        <f>Table1[[#This Row],[Sales Amount]]-Table1[[#This Row],[TOTAL COST WHEN BOUGHT]]</f>
        <v>6965</v>
      </c>
      <c r="N75" s="3">
        <f>Table1[[#This Row],[Profit]]/Table1[[#This Row],[Sales Amount]]</f>
        <v>0.21701199563794984</v>
      </c>
    </row>
    <row r="76" spans="1:14" x14ac:dyDescent="0.3">
      <c r="A76" s="7">
        <v>46181</v>
      </c>
      <c r="B76" t="s">
        <v>11</v>
      </c>
      <c r="C76" t="s">
        <v>16</v>
      </c>
      <c r="D76" t="s">
        <v>20</v>
      </c>
      <c r="E76" t="s">
        <v>24</v>
      </c>
      <c r="F76" t="s">
        <v>27</v>
      </c>
      <c r="G76" t="s">
        <v>31</v>
      </c>
      <c r="H76">
        <v>1</v>
      </c>
      <c r="I76" s="4">
        <v>5660</v>
      </c>
      <c r="J76" s="4">
        <v>3398</v>
      </c>
      <c r="K76" s="4">
        <f>Table1[[#This Row],[S.P / UNIT]]*Table1[[#This Row],[Units Sold]]</f>
        <v>5660</v>
      </c>
      <c r="L76" s="4">
        <f>Table1[[#This Row],[C.P / UNIT]]*Table1[[#This Row],[Units Sold]]</f>
        <v>3398</v>
      </c>
      <c r="M76" s="4">
        <f>Table1[[#This Row],[Sales Amount]]-Table1[[#This Row],[TOTAL COST WHEN BOUGHT]]</f>
        <v>2262</v>
      </c>
      <c r="N76" s="3">
        <f>Table1[[#This Row],[Profit]]/Table1[[#This Row],[Sales Amount]]</f>
        <v>0.39964664310954062</v>
      </c>
    </row>
    <row r="77" spans="1:14" x14ac:dyDescent="0.3">
      <c r="A77" s="7">
        <v>46038</v>
      </c>
      <c r="B77" t="s">
        <v>12</v>
      </c>
      <c r="C77" t="s">
        <v>17</v>
      </c>
      <c r="D77" t="s">
        <v>23</v>
      </c>
      <c r="E77" t="s">
        <v>26</v>
      </c>
      <c r="F77" t="s">
        <v>29</v>
      </c>
      <c r="G77" t="s">
        <v>32</v>
      </c>
      <c r="H77">
        <v>13</v>
      </c>
      <c r="I77" s="4">
        <v>4095</v>
      </c>
      <c r="J77" s="4">
        <v>2826</v>
      </c>
      <c r="K77" s="4">
        <f>Table1[[#This Row],[S.P / UNIT]]*Table1[[#This Row],[Units Sold]]</f>
        <v>53235</v>
      </c>
      <c r="L77" s="4">
        <f>Table1[[#This Row],[C.P / UNIT]]*Table1[[#This Row],[Units Sold]]</f>
        <v>36738</v>
      </c>
      <c r="M77" s="4">
        <f>Table1[[#This Row],[Sales Amount]]-Table1[[#This Row],[TOTAL COST WHEN BOUGHT]]</f>
        <v>16497</v>
      </c>
      <c r="N77" s="3">
        <f>Table1[[#This Row],[Profit]]/Table1[[#This Row],[Sales Amount]]</f>
        <v>0.3098901098901099</v>
      </c>
    </row>
    <row r="78" spans="1:14" x14ac:dyDescent="0.3">
      <c r="A78" s="7">
        <v>46057</v>
      </c>
      <c r="B78" t="s">
        <v>12</v>
      </c>
      <c r="C78" t="s">
        <v>17</v>
      </c>
      <c r="D78" t="s">
        <v>23</v>
      </c>
      <c r="E78" t="s">
        <v>26</v>
      </c>
      <c r="F78" t="s">
        <v>28</v>
      </c>
      <c r="G78" t="s">
        <v>30</v>
      </c>
      <c r="H78">
        <v>13</v>
      </c>
      <c r="I78" s="4">
        <v>2257</v>
      </c>
      <c r="J78" s="4">
        <v>1912</v>
      </c>
      <c r="K78" s="4">
        <f>Table1[[#This Row],[S.P / UNIT]]*Table1[[#This Row],[Units Sold]]</f>
        <v>29341</v>
      </c>
      <c r="L78" s="4">
        <f>Table1[[#This Row],[C.P / UNIT]]*Table1[[#This Row],[Units Sold]]</f>
        <v>24856</v>
      </c>
      <c r="M78" s="4">
        <f>Table1[[#This Row],[Sales Amount]]-Table1[[#This Row],[TOTAL COST WHEN BOUGHT]]</f>
        <v>4485</v>
      </c>
      <c r="N78" s="3">
        <f>Table1[[#This Row],[Profit]]/Table1[[#This Row],[Sales Amount]]</f>
        <v>0.15285777580859547</v>
      </c>
    </row>
    <row r="79" spans="1:14" x14ac:dyDescent="0.3">
      <c r="A79" s="7">
        <v>46130</v>
      </c>
      <c r="B79" t="s">
        <v>11</v>
      </c>
      <c r="C79" t="s">
        <v>16</v>
      </c>
      <c r="D79" t="s">
        <v>19</v>
      </c>
      <c r="E79" t="s">
        <v>26</v>
      </c>
      <c r="F79" t="s">
        <v>28</v>
      </c>
      <c r="G79" t="s">
        <v>32</v>
      </c>
      <c r="H79">
        <v>3</v>
      </c>
      <c r="I79" s="4">
        <v>7085</v>
      </c>
      <c r="J79" s="4">
        <v>4476</v>
      </c>
      <c r="K79" s="4">
        <f>Table1[[#This Row],[S.P / UNIT]]*Table1[[#This Row],[Units Sold]]</f>
        <v>21255</v>
      </c>
      <c r="L79" s="4">
        <f>Table1[[#This Row],[C.P / UNIT]]*Table1[[#This Row],[Units Sold]]</f>
        <v>13428</v>
      </c>
      <c r="M79" s="4">
        <f>Table1[[#This Row],[Sales Amount]]-Table1[[#This Row],[TOTAL COST WHEN BOUGHT]]</f>
        <v>7827</v>
      </c>
      <c r="N79" s="3">
        <f>Table1[[#This Row],[Profit]]/Table1[[#This Row],[Sales Amount]]</f>
        <v>0.36824276640790404</v>
      </c>
    </row>
    <row r="80" spans="1:14" x14ac:dyDescent="0.3">
      <c r="A80" s="7">
        <v>46131</v>
      </c>
      <c r="B80" t="s">
        <v>12</v>
      </c>
      <c r="C80" t="s">
        <v>17</v>
      </c>
      <c r="D80" t="s">
        <v>23</v>
      </c>
      <c r="E80" t="s">
        <v>26</v>
      </c>
      <c r="F80" t="s">
        <v>27</v>
      </c>
      <c r="G80" t="s">
        <v>32</v>
      </c>
      <c r="H80">
        <v>14</v>
      </c>
      <c r="I80" s="4">
        <v>15495</v>
      </c>
      <c r="J80" s="4">
        <v>11163</v>
      </c>
      <c r="K80" s="4">
        <f>Table1[[#This Row],[S.P / UNIT]]*Table1[[#This Row],[Units Sold]]</f>
        <v>216930</v>
      </c>
      <c r="L80" s="4">
        <f>Table1[[#This Row],[C.P / UNIT]]*Table1[[#This Row],[Units Sold]]</f>
        <v>156282</v>
      </c>
      <c r="M80" s="4">
        <f>Table1[[#This Row],[Sales Amount]]-Table1[[#This Row],[TOTAL COST WHEN BOUGHT]]</f>
        <v>60648</v>
      </c>
      <c r="N80" s="3">
        <f>Table1[[#This Row],[Profit]]/Table1[[#This Row],[Sales Amount]]</f>
        <v>0.27957405614714426</v>
      </c>
    </row>
    <row r="81" spans="1:14" x14ac:dyDescent="0.3">
      <c r="A81" s="7">
        <v>46069</v>
      </c>
      <c r="B81" t="s">
        <v>12</v>
      </c>
      <c r="C81" t="s">
        <v>17</v>
      </c>
      <c r="D81" t="s">
        <v>22</v>
      </c>
      <c r="E81" t="s">
        <v>25</v>
      </c>
      <c r="F81" t="s">
        <v>29</v>
      </c>
      <c r="G81" t="s">
        <v>31</v>
      </c>
      <c r="H81">
        <v>5</v>
      </c>
      <c r="I81" s="4">
        <v>10674</v>
      </c>
      <c r="J81" s="4">
        <v>8858</v>
      </c>
      <c r="K81" s="4">
        <f>Table1[[#This Row],[S.P / UNIT]]*Table1[[#This Row],[Units Sold]]</f>
        <v>53370</v>
      </c>
      <c r="L81" s="4">
        <f>Table1[[#This Row],[C.P / UNIT]]*Table1[[#This Row],[Units Sold]]</f>
        <v>44290</v>
      </c>
      <c r="M81" s="4">
        <f>Table1[[#This Row],[Sales Amount]]-Table1[[#This Row],[TOTAL COST WHEN BOUGHT]]</f>
        <v>9080</v>
      </c>
      <c r="N81" s="3">
        <f>Table1[[#This Row],[Profit]]/Table1[[#This Row],[Sales Amount]]</f>
        <v>0.17013303353944165</v>
      </c>
    </row>
    <row r="82" spans="1:14" x14ac:dyDescent="0.3">
      <c r="A82" s="7">
        <v>46040</v>
      </c>
      <c r="B82" t="s">
        <v>12</v>
      </c>
      <c r="C82" t="s">
        <v>17</v>
      </c>
      <c r="D82" t="s">
        <v>23</v>
      </c>
      <c r="E82" t="s">
        <v>26</v>
      </c>
      <c r="F82" t="s">
        <v>27</v>
      </c>
      <c r="G82" t="s">
        <v>32</v>
      </c>
      <c r="H82">
        <v>12</v>
      </c>
      <c r="I82" s="4">
        <v>2413</v>
      </c>
      <c r="J82" s="4">
        <v>1703</v>
      </c>
      <c r="K82" s="4">
        <f>Table1[[#This Row],[S.P / UNIT]]*Table1[[#This Row],[Units Sold]]</f>
        <v>28956</v>
      </c>
      <c r="L82" s="4">
        <f>Table1[[#This Row],[C.P / UNIT]]*Table1[[#This Row],[Units Sold]]</f>
        <v>20436</v>
      </c>
      <c r="M82" s="4">
        <f>Table1[[#This Row],[Sales Amount]]-Table1[[#This Row],[TOTAL COST WHEN BOUGHT]]</f>
        <v>8520</v>
      </c>
      <c r="N82" s="3">
        <f>Table1[[#This Row],[Profit]]/Table1[[#This Row],[Sales Amount]]</f>
        <v>0.29423953584749274</v>
      </c>
    </row>
    <row r="83" spans="1:14" x14ac:dyDescent="0.3">
      <c r="A83" s="7">
        <v>46163</v>
      </c>
      <c r="B83" t="s">
        <v>11</v>
      </c>
      <c r="C83" t="s">
        <v>16</v>
      </c>
      <c r="D83" t="s">
        <v>23</v>
      </c>
      <c r="E83" t="s">
        <v>26</v>
      </c>
      <c r="F83" t="s">
        <v>29</v>
      </c>
      <c r="G83" t="s">
        <v>32</v>
      </c>
      <c r="H83">
        <v>70</v>
      </c>
      <c r="I83" s="4">
        <v>16237</v>
      </c>
      <c r="J83" s="4">
        <v>12844</v>
      </c>
      <c r="K83" s="4">
        <f>Table1[[#This Row],[S.P / UNIT]]*Table1[[#This Row],[Units Sold]]</f>
        <v>1136590</v>
      </c>
      <c r="L83" s="4">
        <f>Table1[[#This Row],[C.P / UNIT]]*Table1[[#This Row],[Units Sold]]</f>
        <v>899080</v>
      </c>
      <c r="M83" s="4">
        <f>Table1[[#This Row],[Sales Amount]]-Table1[[#This Row],[TOTAL COST WHEN BOUGHT]]</f>
        <v>237510</v>
      </c>
      <c r="N83" s="3">
        <f>Table1[[#This Row],[Profit]]/Table1[[#This Row],[Sales Amount]]</f>
        <v>0.20896717373899118</v>
      </c>
    </row>
    <row r="84" spans="1:14" x14ac:dyDescent="0.3">
      <c r="A84" s="7">
        <v>46068</v>
      </c>
      <c r="B84" t="s">
        <v>11</v>
      </c>
      <c r="C84" t="s">
        <v>16</v>
      </c>
      <c r="D84" t="s">
        <v>23</v>
      </c>
      <c r="E84" t="s">
        <v>24</v>
      </c>
      <c r="F84" t="s">
        <v>29</v>
      </c>
      <c r="G84" t="s">
        <v>31</v>
      </c>
      <c r="H84">
        <v>13</v>
      </c>
      <c r="I84" s="4">
        <v>15734</v>
      </c>
      <c r="J84" s="4">
        <v>12818</v>
      </c>
      <c r="K84" s="4">
        <f>Table1[[#This Row],[S.P / UNIT]]*Table1[[#This Row],[Units Sold]]</f>
        <v>204542</v>
      </c>
      <c r="L84" s="4">
        <f>Table1[[#This Row],[C.P / UNIT]]*Table1[[#This Row],[Units Sold]]</f>
        <v>166634</v>
      </c>
      <c r="M84" s="4">
        <f>Table1[[#This Row],[Sales Amount]]-Table1[[#This Row],[TOTAL COST WHEN BOUGHT]]</f>
        <v>37908</v>
      </c>
      <c r="N84" s="3">
        <f>Table1[[#This Row],[Profit]]/Table1[[#This Row],[Sales Amount]]</f>
        <v>0.18533113003686286</v>
      </c>
    </row>
    <row r="85" spans="1:14" x14ac:dyDescent="0.3">
      <c r="A85" s="7">
        <v>46145</v>
      </c>
      <c r="B85" t="s">
        <v>12</v>
      </c>
      <c r="C85" t="s">
        <v>17</v>
      </c>
      <c r="D85" t="s">
        <v>21</v>
      </c>
      <c r="E85" t="s">
        <v>24</v>
      </c>
      <c r="F85" t="s">
        <v>27</v>
      </c>
      <c r="G85" t="s">
        <v>32</v>
      </c>
      <c r="H85">
        <v>7</v>
      </c>
      <c r="I85" s="4">
        <v>10824</v>
      </c>
      <c r="J85" s="4">
        <v>8144</v>
      </c>
      <c r="K85" s="4">
        <f>Table1[[#This Row],[S.P / UNIT]]*Table1[[#This Row],[Units Sold]]</f>
        <v>75768</v>
      </c>
      <c r="L85" s="4">
        <f>Table1[[#This Row],[C.P / UNIT]]*Table1[[#This Row],[Units Sold]]</f>
        <v>57008</v>
      </c>
      <c r="M85" s="4">
        <f>Table1[[#This Row],[Sales Amount]]-Table1[[#This Row],[TOTAL COST WHEN BOUGHT]]</f>
        <v>18760</v>
      </c>
      <c r="N85" s="3">
        <f>Table1[[#This Row],[Profit]]/Table1[[#This Row],[Sales Amount]]</f>
        <v>0.24759793052475979</v>
      </c>
    </row>
    <row r="86" spans="1:14" x14ac:dyDescent="0.3">
      <c r="A86" s="7">
        <v>46128</v>
      </c>
      <c r="B86" t="s">
        <v>14</v>
      </c>
      <c r="C86" t="s">
        <v>18</v>
      </c>
      <c r="D86" t="s">
        <v>21</v>
      </c>
      <c r="E86" t="s">
        <v>26</v>
      </c>
      <c r="F86" t="s">
        <v>27</v>
      </c>
      <c r="G86" t="s">
        <v>31</v>
      </c>
      <c r="H86">
        <v>10</v>
      </c>
      <c r="I86" s="4">
        <v>1665</v>
      </c>
      <c r="J86" s="4">
        <v>1351</v>
      </c>
      <c r="K86" s="4">
        <f>Table1[[#This Row],[S.P / UNIT]]*Table1[[#This Row],[Units Sold]]</f>
        <v>16650</v>
      </c>
      <c r="L86" s="4">
        <f>Table1[[#This Row],[C.P / UNIT]]*Table1[[#This Row],[Units Sold]]</f>
        <v>13510</v>
      </c>
      <c r="M86" s="4">
        <f>Table1[[#This Row],[Sales Amount]]-Table1[[#This Row],[TOTAL COST WHEN BOUGHT]]</f>
        <v>3140</v>
      </c>
      <c r="N86" s="3">
        <f>Table1[[#This Row],[Profit]]/Table1[[#This Row],[Sales Amount]]</f>
        <v>0.1885885885885886</v>
      </c>
    </row>
    <row r="87" spans="1:14" x14ac:dyDescent="0.3">
      <c r="A87" s="7">
        <v>46074</v>
      </c>
      <c r="B87" t="s">
        <v>12</v>
      </c>
      <c r="C87" t="s">
        <v>17</v>
      </c>
      <c r="D87" t="s">
        <v>19</v>
      </c>
      <c r="E87" t="s">
        <v>24</v>
      </c>
      <c r="F87" t="s">
        <v>29</v>
      </c>
      <c r="G87" t="s">
        <v>31</v>
      </c>
      <c r="H87">
        <v>8</v>
      </c>
      <c r="I87" s="4">
        <v>2357</v>
      </c>
      <c r="J87" s="4">
        <v>1906</v>
      </c>
      <c r="K87" s="4">
        <f>Table1[[#This Row],[S.P / UNIT]]*Table1[[#This Row],[Units Sold]]</f>
        <v>18856</v>
      </c>
      <c r="L87" s="4">
        <f>Table1[[#This Row],[C.P / UNIT]]*Table1[[#This Row],[Units Sold]]</f>
        <v>15248</v>
      </c>
      <c r="M87" s="4">
        <f>Table1[[#This Row],[Sales Amount]]-Table1[[#This Row],[TOTAL COST WHEN BOUGHT]]</f>
        <v>3608</v>
      </c>
      <c r="N87" s="3">
        <f>Table1[[#This Row],[Profit]]/Table1[[#This Row],[Sales Amount]]</f>
        <v>0.19134492999575731</v>
      </c>
    </row>
    <row r="88" spans="1:14" x14ac:dyDescent="0.3">
      <c r="A88" s="7">
        <v>46114</v>
      </c>
      <c r="B88" t="s">
        <v>14</v>
      </c>
      <c r="C88" t="s">
        <v>18</v>
      </c>
      <c r="D88" t="s">
        <v>19</v>
      </c>
      <c r="E88" t="s">
        <v>26</v>
      </c>
      <c r="F88" t="s">
        <v>27</v>
      </c>
      <c r="G88" t="s">
        <v>31</v>
      </c>
      <c r="H88">
        <v>6</v>
      </c>
      <c r="I88" s="4">
        <v>2004</v>
      </c>
      <c r="J88" s="4">
        <v>1625</v>
      </c>
      <c r="K88" s="4">
        <f>Table1[[#This Row],[S.P / UNIT]]*Table1[[#This Row],[Units Sold]]</f>
        <v>12024</v>
      </c>
      <c r="L88" s="4">
        <f>Table1[[#This Row],[C.P / UNIT]]*Table1[[#This Row],[Units Sold]]</f>
        <v>9750</v>
      </c>
      <c r="M88" s="4">
        <f>Table1[[#This Row],[Sales Amount]]-Table1[[#This Row],[TOTAL COST WHEN BOUGHT]]</f>
        <v>2274</v>
      </c>
      <c r="N88" s="3">
        <f>Table1[[#This Row],[Profit]]/Table1[[#This Row],[Sales Amount]]</f>
        <v>0.18912175648702595</v>
      </c>
    </row>
    <row r="89" spans="1:14" x14ac:dyDescent="0.3">
      <c r="A89" s="7">
        <v>46087</v>
      </c>
      <c r="B89" t="s">
        <v>11</v>
      </c>
      <c r="C89" t="s">
        <v>16</v>
      </c>
      <c r="D89" t="s">
        <v>20</v>
      </c>
      <c r="E89" t="s">
        <v>24</v>
      </c>
      <c r="F89" t="s">
        <v>29</v>
      </c>
      <c r="G89" t="s">
        <v>32</v>
      </c>
      <c r="H89">
        <v>4</v>
      </c>
      <c r="I89" s="4">
        <v>5627</v>
      </c>
      <c r="J89" s="4">
        <v>4623</v>
      </c>
      <c r="K89" s="4">
        <f>Table1[[#This Row],[S.P / UNIT]]*Table1[[#This Row],[Units Sold]]</f>
        <v>22508</v>
      </c>
      <c r="L89" s="4">
        <f>Table1[[#This Row],[C.P / UNIT]]*Table1[[#This Row],[Units Sold]]</f>
        <v>18492</v>
      </c>
      <c r="M89" s="4">
        <f>Table1[[#This Row],[Sales Amount]]-Table1[[#This Row],[TOTAL COST WHEN BOUGHT]]</f>
        <v>4016</v>
      </c>
      <c r="N89" s="3">
        <f>Table1[[#This Row],[Profit]]/Table1[[#This Row],[Sales Amount]]</f>
        <v>0.17842544872934069</v>
      </c>
    </row>
    <row r="90" spans="1:14" x14ac:dyDescent="0.3">
      <c r="A90" s="7">
        <v>46047</v>
      </c>
      <c r="B90" t="s">
        <v>14</v>
      </c>
      <c r="C90" t="s">
        <v>18</v>
      </c>
      <c r="D90" t="s">
        <v>19</v>
      </c>
      <c r="E90" t="s">
        <v>26</v>
      </c>
      <c r="F90" t="s">
        <v>28</v>
      </c>
      <c r="G90" t="s">
        <v>31</v>
      </c>
      <c r="H90">
        <v>13</v>
      </c>
      <c r="I90" s="4">
        <v>11504</v>
      </c>
      <c r="J90" s="4">
        <v>8346</v>
      </c>
      <c r="K90" s="4">
        <f>Table1[[#This Row],[S.P / UNIT]]*Table1[[#This Row],[Units Sold]]</f>
        <v>149552</v>
      </c>
      <c r="L90" s="4">
        <f>Table1[[#This Row],[C.P / UNIT]]*Table1[[#This Row],[Units Sold]]</f>
        <v>108498</v>
      </c>
      <c r="M90" s="4">
        <f>Table1[[#This Row],[Sales Amount]]-Table1[[#This Row],[TOTAL COST WHEN BOUGHT]]</f>
        <v>41054</v>
      </c>
      <c r="N90" s="3">
        <f>Table1[[#This Row],[Profit]]/Table1[[#This Row],[Sales Amount]]</f>
        <v>0.27451321279554936</v>
      </c>
    </row>
    <row r="91" spans="1:14" x14ac:dyDescent="0.3">
      <c r="A91" s="7">
        <v>46113</v>
      </c>
      <c r="B91" t="s">
        <v>13</v>
      </c>
      <c r="C91" t="s">
        <v>18</v>
      </c>
      <c r="D91" t="s">
        <v>21</v>
      </c>
      <c r="E91" t="s">
        <v>24</v>
      </c>
      <c r="F91" t="s">
        <v>28</v>
      </c>
      <c r="G91" t="s">
        <v>31</v>
      </c>
      <c r="H91">
        <v>8</v>
      </c>
      <c r="I91" s="4">
        <v>8778</v>
      </c>
      <c r="J91" s="4">
        <v>6350</v>
      </c>
      <c r="K91" s="4">
        <f>Table1[[#This Row],[S.P / UNIT]]*Table1[[#This Row],[Units Sold]]</f>
        <v>70224</v>
      </c>
      <c r="L91" s="4">
        <f>Table1[[#This Row],[C.P / UNIT]]*Table1[[#This Row],[Units Sold]]</f>
        <v>50800</v>
      </c>
      <c r="M91" s="4">
        <f>Table1[[#This Row],[Sales Amount]]-Table1[[#This Row],[TOTAL COST WHEN BOUGHT]]</f>
        <v>19424</v>
      </c>
      <c r="N91" s="3">
        <f>Table1[[#This Row],[Profit]]/Table1[[#This Row],[Sales Amount]]</f>
        <v>0.27660059239006607</v>
      </c>
    </row>
    <row r="92" spans="1:14" x14ac:dyDescent="0.3">
      <c r="A92" s="7">
        <v>46176</v>
      </c>
      <c r="B92" t="s">
        <v>14</v>
      </c>
      <c r="C92" t="s">
        <v>18</v>
      </c>
      <c r="D92" t="s">
        <v>19</v>
      </c>
      <c r="E92" t="s">
        <v>24</v>
      </c>
      <c r="F92" t="s">
        <v>29</v>
      </c>
      <c r="G92" t="s">
        <v>30</v>
      </c>
      <c r="H92">
        <v>1</v>
      </c>
      <c r="I92" s="4">
        <v>516</v>
      </c>
      <c r="J92" s="4">
        <v>358</v>
      </c>
      <c r="K92" s="4">
        <f>Table1[[#This Row],[S.P / UNIT]]*Table1[[#This Row],[Units Sold]]</f>
        <v>516</v>
      </c>
      <c r="L92" s="4">
        <f>Table1[[#This Row],[C.P / UNIT]]*Table1[[#This Row],[Units Sold]]</f>
        <v>358</v>
      </c>
      <c r="M92" s="4">
        <f>Table1[[#This Row],[Sales Amount]]-Table1[[#This Row],[TOTAL COST WHEN BOUGHT]]</f>
        <v>158</v>
      </c>
      <c r="N92" s="3">
        <f>Table1[[#This Row],[Profit]]/Table1[[#This Row],[Sales Amount]]</f>
        <v>0.30620155038759689</v>
      </c>
    </row>
    <row r="93" spans="1:14" x14ac:dyDescent="0.3">
      <c r="A93" s="7">
        <v>46091</v>
      </c>
      <c r="B93" t="s">
        <v>13</v>
      </c>
      <c r="C93" t="s">
        <v>18</v>
      </c>
      <c r="D93" t="s">
        <v>22</v>
      </c>
      <c r="E93" t="s">
        <v>26</v>
      </c>
      <c r="F93" t="s">
        <v>27</v>
      </c>
      <c r="G93" t="s">
        <v>32</v>
      </c>
      <c r="H93">
        <v>13</v>
      </c>
      <c r="I93" s="4">
        <v>1764</v>
      </c>
      <c r="J93" s="4">
        <v>1198</v>
      </c>
      <c r="K93" s="4">
        <f>Table1[[#This Row],[S.P / UNIT]]*Table1[[#This Row],[Units Sold]]</f>
        <v>22932</v>
      </c>
      <c r="L93" s="4">
        <f>Table1[[#This Row],[C.P / UNIT]]*Table1[[#This Row],[Units Sold]]</f>
        <v>15574</v>
      </c>
      <c r="M93" s="4">
        <f>Table1[[#This Row],[Sales Amount]]-Table1[[#This Row],[TOTAL COST WHEN BOUGHT]]</f>
        <v>7358</v>
      </c>
      <c r="N93" s="3">
        <f>Table1[[#This Row],[Profit]]/Table1[[#This Row],[Sales Amount]]</f>
        <v>0.32086167800453513</v>
      </c>
    </row>
    <row r="94" spans="1:14" x14ac:dyDescent="0.3">
      <c r="A94" s="7">
        <v>46045</v>
      </c>
      <c r="B94" t="s">
        <v>11</v>
      </c>
      <c r="C94" t="s">
        <v>16</v>
      </c>
      <c r="D94" t="s">
        <v>19</v>
      </c>
      <c r="E94" t="s">
        <v>25</v>
      </c>
      <c r="F94" t="s">
        <v>28</v>
      </c>
      <c r="G94" t="s">
        <v>31</v>
      </c>
      <c r="H94">
        <v>6</v>
      </c>
      <c r="I94" s="4">
        <v>5687</v>
      </c>
      <c r="J94" s="4">
        <v>4738</v>
      </c>
      <c r="K94" s="4">
        <f>Table1[[#This Row],[S.P / UNIT]]*Table1[[#This Row],[Units Sold]]</f>
        <v>34122</v>
      </c>
      <c r="L94" s="4">
        <f>Table1[[#This Row],[C.P / UNIT]]*Table1[[#This Row],[Units Sold]]</f>
        <v>28428</v>
      </c>
      <c r="M94" s="4">
        <f>Table1[[#This Row],[Sales Amount]]-Table1[[#This Row],[TOTAL COST WHEN BOUGHT]]</f>
        <v>5694</v>
      </c>
      <c r="N94" s="3">
        <f>Table1[[#This Row],[Profit]]/Table1[[#This Row],[Sales Amount]]</f>
        <v>0.16687181290662914</v>
      </c>
    </row>
    <row r="95" spans="1:14" x14ac:dyDescent="0.3">
      <c r="A95" s="7">
        <v>46048</v>
      </c>
      <c r="B95" t="s">
        <v>13</v>
      </c>
      <c r="C95" t="s">
        <v>18</v>
      </c>
      <c r="D95" t="s">
        <v>20</v>
      </c>
      <c r="E95" t="s">
        <v>25</v>
      </c>
      <c r="F95" t="s">
        <v>29</v>
      </c>
      <c r="G95" t="s">
        <v>30</v>
      </c>
      <c r="H95">
        <v>8</v>
      </c>
      <c r="I95" s="4">
        <v>8773</v>
      </c>
      <c r="J95" s="4">
        <v>6593</v>
      </c>
      <c r="K95" s="4">
        <f>Table1[[#This Row],[S.P / UNIT]]*Table1[[#This Row],[Units Sold]]</f>
        <v>70184</v>
      </c>
      <c r="L95" s="4">
        <f>Table1[[#This Row],[C.P / UNIT]]*Table1[[#This Row],[Units Sold]]</f>
        <v>52744</v>
      </c>
      <c r="M95" s="4">
        <f>Table1[[#This Row],[Sales Amount]]-Table1[[#This Row],[TOTAL COST WHEN BOUGHT]]</f>
        <v>17440</v>
      </c>
      <c r="N95" s="3">
        <f>Table1[[#This Row],[Profit]]/Table1[[#This Row],[Sales Amount]]</f>
        <v>0.24848968425852047</v>
      </c>
    </row>
    <row r="96" spans="1:14" x14ac:dyDescent="0.3">
      <c r="A96" s="7">
        <v>46099</v>
      </c>
      <c r="B96" t="s">
        <v>12</v>
      </c>
      <c r="C96" t="s">
        <v>17</v>
      </c>
      <c r="D96" t="s">
        <v>20</v>
      </c>
      <c r="E96" t="s">
        <v>26</v>
      </c>
      <c r="F96" t="s">
        <v>28</v>
      </c>
      <c r="G96" t="s">
        <v>32</v>
      </c>
      <c r="H96">
        <v>14</v>
      </c>
      <c r="I96" s="4">
        <v>1893</v>
      </c>
      <c r="J96" s="4">
        <v>1556</v>
      </c>
      <c r="K96" s="4">
        <f>Table1[[#This Row],[S.P / UNIT]]*Table1[[#This Row],[Units Sold]]</f>
        <v>26502</v>
      </c>
      <c r="L96" s="4">
        <f>Table1[[#This Row],[C.P / UNIT]]*Table1[[#This Row],[Units Sold]]</f>
        <v>21784</v>
      </c>
      <c r="M96" s="4">
        <f>Table1[[#This Row],[Sales Amount]]-Table1[[#This Row],[TOTAL COST WHEN BOUGHT]]</f>
        <v>4718</v>
      </c>
      <c r="N96" s="3">
        <f>Table1[[#This Row],[Profit]]/Table1[[#This Row],[Sales Amount]]</f>
        <v>0.17802430005282621</v>
      </c>
    </row>
    <row r="97" spans="1:14" x14ac:dyDescent="0.3">
      <c r="A97" s="7">
        <v>46136</v>
      </c>
      <c r="B97" t="s">
        <v>11</v>
      </c>
      <c r="C97" t="s">
        <v>16</v>
      </c>
      <c r="D97" t="s">
        <v>20</v>
      </c>
      <c r="E97" t="s">
        <v>26</v>
      </c>
      <c r="F97" t="s">
        <v>28</v>
      </c>
      <c r="G97" t="s">
        <v>30</v>
      </c>
      <c r="H97">
        <v>6</v>
      </c>
      <c r="I97" s="4">
        <v>13345</v>
      </c>
      <c r="J97" s="4">
        <v>8821</v>
      </c>
      <c r="K97" s="4">
        <f>Table1[[#This Row],[S.P / UNIT]]*Table1[[#This Row],[Units Sold]]</f>
        <v>80070</v>
      </c>
      <c r="L97" s="4">
        <f>Table1[[#This Row],[C.P / UNIT]]*Table1[[#This Row],[Units Sold]]</f>
        <v>52926</v>
      </c>
      <c r="M97" s="4">
        <f>Table1[[#This Row],[Sales Amount]]-Table1[[#This Row],[TOTAL COST WHEN BOUGHT]]</f>
        <v>27144</v>
      </c>
      <c r="N97" s="3">
        <f>Table1[[#This Row],[Profit]]/Table1[[#This Row],[Sales Amount]]</f>
        <v>0.33900337204945674</v>
      </c>
    </row>
    <row r="98" spans="1:14" x14ac:dyDescent="0.3">
      <c r="A98" s="7">
        <v>46170</v>
      </c>
      <c r="B98" t="s">
        <v>13</v>
      </c>
      <c r="C98" t="s">
        <v>18</v>
      </c>
      <c r="D98" t="s">
        <v>23</v>
      </c>
      <c r="E98" t="s">
        <v>24</v>
      </c>
      <c r="F98" t="s">
        <v>27</v>
      </c>
      <c r="G98" t="s">
        <v>32</v>
      </c>
      <c r="H98">
        <v>15</v>
      </c>
      <c r="I98" s="4">
        <v>7283</v>
      </c>
      <c r="J98" s="4">
        <v>5000</v>
      </c>
      <c r="K98" s="4">
        <f>Table1[[#This Row],[S.P / UNIT]]*Table1[[#This Row],[Units Sold]]</f>
        <v>109245</v>
      </c>
      <c r="L98" s="4">
        <f>Table1[[#This Row],[C.P / UNIT]]*Table1[[#This Row],[Units Sold]]</f>
        <v>75000</v>
      </c>
      <c r="M98" s="4">
        <f>Table1[[#This Row],[Sales Amount]]-Table1[[#This Row],[TOTAL COST WHEN BOUGHT]]</f>
        <v>34245</v>
      </c>
      <c r="N98" s="3">
        <f>Table1[[#This Row],[Profit]]/Table1[[#This Row],[Sales Amount]]</f>
        <v>0.31346972401482903</v>
      </c>
    </row>
    <row r="99" spans="1:14" x14ac:dyDescent="0.3">
      <c r="A99" s="7">
        <v>46075</v>
      </c>
      <c r="B99" t="s">
        <v>12</v>
      </c>
      <c r="C99" t="s">
        <v>17</v>
      </c>
      <c r="D99" t="s">
        <v>21</v>
      </c>
      <c r="E99" t="s">
        <v>24</v>
      </c>
      <c r="F99" t="s">
        <v>28</v>
      </c>
      <c r="G99" t="s">
        <v>32</v>
      </c>
      <c r="H99">
        <v>7</v>
      </c>
      <c r="I99" s="4">
        <v>3627</v>
      </c>
      <c r="J99" s="4">
        <v>2505</v>
      </c>
      <c r="K99" s="4">
        <f>Table1[[#This Row],[S.P / UNIT]]*Table1[[#This Row],[Units Sold]]</f>
        <v>25389</v>
      </c>
      <c r="L99" s="4">
        <f>Table1[[#This Row],[C.P / UNIT]]*Table1[[#This Row],[Units Sold]]</f>
        <v>17535</v>
      </c>
      <c r="M99" s="4">
        <f>Table1[[#This Row],[Sales Amount]]-Table1[[#This Row],[TOTAL COST WHEN BOUGHT]]</f>
        <v>7854</v>
      </c>
      <c r="N99" s="3">
        <f>Table1[[#This Row],[Profit]]/Table1[[#This Row],[Sales Amount]]</f>
        <v>0.30934656741108352</v>
      </c>
    </row>
    <row r="100" spans="1:14" x14ac:dyDescent="0.3">
      <c r="A100" s="7">
        <v>46116</v>
      </c>
      <c r="B100" t="s">
        <v>14</v>
      </c>
      <c r="C100" t="s">
        <v>18</v>
      </c>
      <c r="D100" t="s">
        <v>21</v>
      </c>
      <c r="E100" t="s">
        <v>24</v>
      </c>
      <c r="F100" t="s">
        <v>29</v>
      </c>
      <c r="G100" t="s">
        <v>32</v>
      </c>
      <c r="H100">
        <v>1</v>
      </c>
      <c r="I100" s="4">
        <v>12677</v>
      </c>
      <c r="J100" s="4">
        <v>8088</v>
      </c>
      <c r="K100" s="4">
        <f>Table1[[#This Row],[S.P / UNIT]]*Table1[[#This Row],[Units Sold]]</f>
        <v>12677</v>
      </c>
      <c r="L100" s="4">
        <f>Table1[[#This Row],[C.P / UNIT]]*Table1[[#This Row],[Units Sold]]</f>
        <v>8088</v>
      </c>
      <c r="M100" s="4">
        <f>Table1[[#This Row],[Sales Amount]]-Table1[[#This Row],[TOTAL COST WHEN BOUGHT]]</f>
        <v>4589</v>
      </c>
      <c r="N100" s="3">
        <f>Table1[[#This Row],[Profit]]/Table1[[#This Row],[Sales Amount]]</f>
        <v>0.36199416265677997</v>
      </c>
    </row>
    <row r="101" spans="1:14" x14ac:dyDescent="0.3">
      <c r="A101" s="7">
        <v>46035</v>
      </c>
      <c r="B101" t="s">
        <v>14</v>
      </c>
      <c r="C101" t="s">
        <v>18</v>
      </c>
      <c r="D101" t="s">
        <v>23</v>
      </c>
      <c r="E101" t="s">
        <v>26</v>
      </c>
      <c r="F101" t="s">
        <v>28</v>
      </c>
      <c r="G101" t="s">
        <v>31</v>
      </c>
      <c r="H101">
        <v>15</v>
      </c>
      <c r="I101" s="4">
        <v>10004</v>
      </c>
      <c r="J101" s="4">
        <v>7304</v>
      </c>
      <c r="K101" s="4">
        <f>Table1[[#This Row],[S.P / UNIT]]*Table1[[#This Row],[Units Sold]]</f>
        <v>150060</v>
      </c>
      <c r="L101" s="4">
        <f>Table1[[#This Row],[C.P / UNIT]]*Table1[[#This Row],[Units Sold]]</f>
        <v>109560</v>
      </c>
      <c r="M101" s="4">
        <f>Table1[[#This Row],[Sales Amount]]-Table1[[#This Row],[TOTAL COST WHEN BOUGHT]]</f>
        <v>40500</v>
      </c>
      <c r="N101" s="3">
        <f>Table1[[#This Row],[Profit]]/Table1[[#This Row],[Sales Amount]]</f>
        <v>0.26989204318272692</v>
      </c>
    </row>
    <row r="102" spans="1:14" x14ac:dyDescent="0.3">
      <c r="A102" s="7">
        <v>46113</v>
      </c>
      <c r="B102" t="s">
        <v>13</v>
      </c>
      <c r="C102" t="s">
        <v>18</v>
      </c>
      <c r="D102" t="s">
        <v>21</v>
      </c>
      <c r="E102" t="s">
        <v>24</v>
      </c>
      <c r="F102" t="s">
        <v>28</v>
      </c>
      <c r="G102" t="s">
        <v>31</v>
      </c>
      <c r="H102">
        <v>8</v>
      </c>
      <c r="I102" s="4">
        <v>8778</v>
      </c>
      <c r="J102" s="4">
        <v>6350</v>
      </c>
      <c r="K102" s="4">
        <f>Table1[[#This Row],[S.P / UNIT]]*Table1[[#This Row],[Units Sold]]</f>
        <v>70224</v>
      </c>
      <c r="L102" s="4">
        <f>Table1[[#This Row],[C.P / UNIT]]*Table1[[#This Row],[Units Sold]]</f>
        <v>50800</v>
      </c>
      <c r="M102" s="4">
        <f>Table1[[#This Row],[Sales Amount]]-Table1[[#This Row],[TOTAL COST WHEN BOUGHT]]</f>
        <v>19424</v>
      </c>
      <c r="N102" s="3">
        <f>Table1[[#This Row],[Profit]]/Table1[[#This Row],[Sales Amount]]</f>
        <v>0.27660059239006607</v>
      </c>
    </row>
    <row r="103" spans="1:14" x14ac:dyDescent="0.3">
      <c r="A103" s="7">
        <v>46176</v>
      </c>
      <c r="B103" t="s">
        <v>14</v>
      </c>
      <c r="C103" t="s">
        <v>18</v>
      </c>
      <c r="D103" t="s">
        <v>19</v>
      </c>
      <c r="E103" t="s">
        <v>24</v>
      </c>
      <c r="F103" t="s">
        <v>29</v>
      </c>
      <c r="G103" t="s">
        <v>30</v>
      </c>
      <c r="H103">
        <v>1</v>
      </c>
      <c r="I103" s="4">
        <v>516</v>
      </c>
      <c r="J103" s="4">
        <v>358</v>
      </c>
      <c r="K103" s="4">
        <f>Table1[[#This Row],[S.P / UNIT]]*Table1[[#This Row],[Units Sold]]</f>
        <v>516</v>
      </c>
      <c r="L103" s="4">
        <f>Table1[[#This Row],[C.P / UNIT]]*Table1[[#This Row],[Units Sold]]</f>
        <v>358</v>
      </c>
      <c r="M103" s="4">
        <f>Table1[[#This Row],[Sales Amount]]-Table1[[#This Row],[TOTAL COST WHEN BOUGHT]]</f>
        <v>158</v>
      </c>
      <c r="N103" s="3">
        <f>Table1[[#This Row],[Profit]]/Table1[[#This Row],[Sales Amount]]</f>
        <v>0.30620155038759689</v>
      </c>
    </row>
    <row r="104" spans="1:14" x14ac:dyDescent="0.3">
      <c r="A104" s="7">
        <v>46091</v>
      </c>
      <c r="B104" t="s">
        <v>13</v>
      </c>
      <c r="C104" t="s">
        <v>18</v>
      </c>
      <c r="D104" t="s">
        <v>22</v>
      </c>
      <c r="E104" t="s">
        <v>26</v>
      </c>
      <c r="F104" t="s">
        <v>27</v>
      </c>
      <c r="G104" t="s">
        <v>32</v>
      </c>
      <c r="H104">
        <v>13</v>
      </c>
      <c r="I104" s="4">
        <v>1764</v>
      </c>
      <c r="J104" s="4">
        <v>1198</v>
      </c>
      <c r="K104" s="4">
        <f>Table1[[#This Row],[S.P / UNIT]]*Table1[[#This Row],[Units Sold]]</f>
        <v>22932</v>
      </c>
      <c r="L104" s="4">
        <f>Table1[[#This Row],[C.P / UNIT]]*Table1[[#This Row],[Units Sold]]</f>
        <v>15574</v>
      </c>
      <c r="M104" s="4">
        <f>Table1[[#This Row],[Sales Amount]]-Table1[[#This Row],[TOTAL COST WHEN BOUGHT]]</f>
        <v>7358</v>
      </c>
      <c r="N104" s="3">
        <f>Table1[[#This Row],[Profit]]/Table1[[#This Row],[Sales Amount]]</f>
        <v>0.32086167800453513</v>
      </c>
    </row>
    <row r="105" spans="1:14" x14ac:dyDescent="0.3">
      <c r="A105" s="7">
        <v>46045</v>
      </c>
      <c r="B105" t="s">
        <v>11</v>
      </c>
      <c r="C105" t="s">
        <v>16</v>
      </c>
      <c r="D105" t="s">
        <v>19</v>
      </c>
      <c r="E105" t="s">
        <v>25</v>
      </c>
      <c r="F105" t="s">
        <v>28</v>
      </c>
      <c r="G105" t="s">
        <v>31</v>
      </c>
      <c r="H105">
        <v>6</v>
      </c>
      <c r="I105" s="4">
        <v>5687</v>
      </c>
      <c r="J105" s="4">
        <v>4738</v>
      </c>
      <c r="K105" s="4">
        <f>Table1[[#This Row],[S.P / UNIT]]*Table1[[#This Row],[Units Sold]]</f>
        <v>34122</v>
      </c>
      <c r="L105" s="4">
        <f>Table1[[#This Row],[C.P / UNIT]]*Table1[[#This Row],[Units Sold]]</f>
        <v>28428</v>
      </c>
      <c r="M105" s="4">
        <f>Table1[[#This Row],[Sales Amount]]-Table1[[#This Row],[TOTAL COST WHEN BOUGHT]]</f>
        <v>5694</v>
      </c>
      <c r="N105" s="3">
        <f>Table1[[#This Row],[Profit]]/Table1[[#This Row],[Sales Amount]]</f>
        <v>0.16687181290662914</v>
      </c>
    </row>
    <row r="106" spans="1:14" x14ac:dyDescent="0.3">
      <c r="A106" s="7">
        <v>46048</v>
      </c>
      <c r="B106" t="s">
        <v>13</v>
      </c>
      <c r="C106" t="s">
        <v>18</v>
      </c>
      <c r="D106" t="s">
        <v>20</v>
      </c>
      <c r="E106" t="s">
        <v>25</v>
      </c>
      <c r="F106" t="s">
        <v>29</v>
      </c>
      <c r="G106" t="s">
        <v>30</v>
      </c>
      <c r="H106">
        <v>8</v>
      </c>
      <c r="I106" s="4">
        <v>8773</v>
      </c>
      <c r="J106" s="4">
        <v>6593</v>
      </c>
      <c r="K106" s="4">
        <f>Table1[[#This Row],[S.P / UNIT]]*Table1[[#This Row],[Units Sold]]</f>
        <v>70184</v>
      </c>
      <c r="L106" s="4">
        <f>Table1[[#This Row],[C.P / UNIT]]*Table1[[#This Row],[Units Sold]]</f>
        <v>52744</v>
      </c>
      <c r="M106" s="4">
        <f>Table1[[#This Row],[Sales Amount]]-Table1[[#This Row],[TOTAL COST WHEN BOUGHT]]</f>
        <v>17440</v>
      </c>
      <c r="N106" s="3">
        <f>Table1[[#This Row],[Profit]]/Table1[[#This Row],[Sales Amount]]</f>
        <v>0.24848968425852047</v>
      </c>
    </row>
    <row r="107" spans="1:14" x14ac:dyDescent="0.3">
      <c r="A107" s="7">
        <v>46099</v>
      </c>
      <c r="B107" t="s">
        <v>12</v>
      </c>
      <c r="C107" t="s">
        <v>17</v>
      </c>
      <c r="D107" t="s">
        <v>20</v>
      </c>
      <c r="E107" t="s">
        <v>26</v>
      </c>
      <c r="F107" t="s">
        <v>28</v>
      </c>
      <c r="G107" t="s">
        <v>32</v>
      </c>
      <c r="H107">
        <v>14</v>
      </c>
      <c r="I107" s="4">
        <v>1893</v>
      </c>
      <c r="J107" s="4">
        <v>1556</v>
      </c>
      <c r="K107" s="4">
        <f>Table1[[#This Row],[S.P / UNIT]]*Table1[[#This Row],[Units Sold]]</f>
        <v>26502</v>
      </c>
      <c r="L107" s="4">
        <f>Table1[[#This Row],[C.P / UNIT]]*Table1[[#This Row],[Units Sold]]</f>
        <v>21784</v>
      </c>
      <c r="M107" s="4">
        <f>Table1[[#This Row],[Sales Amount]]-Table1[[#This Row],[TOTAL COST WHEN BOUGHT]]</f>
        <v>4718</v>
      </c>
      <c r="N107" s="3">
        <f>Table1[[#This Row],[Profit]]/Table1[[#This Row],[Sales Amount]]</f>
        <v>0.17802430005282621</v>
      </c>
    </row>
    <row r="108" spans="1:14" x14ac:dyDescent="0.3">
      <c r="A108" s="7">
        <v>46136</v>
      </c>
      <c r="B108" t="s">
        <v>11</v>
      </c>
      <c r="C108" t="s">
        <v>16</v>
      </c>
      <c r="D108" t="s">
        <v>20</v>
      </c>
      <c r="E108" t="s">
        <v>26</v>
      </c>
      <c r="F108" t="s">
        <v>28</v>
      </c>
      <c r="G108" t="s">
        <v>30</v>
      </c>
      <c r="H108">
        <v>6</v>
      </c>
      <c r="I108" s="4">
        <v>13345</v>
      </c>
      <c r="J108" s="4">
        <v>8821</v>
      </c>
      <c r="K108" s="4">
        <f>Table1[[#This Row],[S.P / UNIT]]*Table1[[#This Row],[Units Sold]]</f>
        <v>80070</v>
      </c>
      <c r="L108" s="4">
        <f>Table1[[#This Row],[C.P / UNIT]]*Table1[[#This Row],[Units Sold]]</f>
        <v>52926</v>
      </c>
      <c r="M108" s="4">
        <f>Table1[[#This Row],[Sales Amount]]-Table1[[#This Row],[TOTAL COST WHEN BOUGHT]]</f>
        <v>27144</v>
      </c>
      <c r="N108" s="3">
        <f>Table1[[#This Row],[Profit]]/Table1[[#This Row],[Sales Amount]]</f>
        <v>0.33900337204945674</v>
      </c>
    </row>
    <row r="109" spans="1:14" x14ac:dyDescent="0.3">
      <c r="A109" s="7">
        <v>46170</v>
      </c>
      <c r="B109" t="s">
        <v>13</v>
      </c>
      <c r="C109" t="s">
        <v>18</v>
      </c>
      <c r="D109" t="s">
        <v>23</v>
      </c>
      <c r="E109" t="s">
        <v>24</v>
      </c>
      <c r="F109" t="s">
        <v>27</v>
      </c>
      <c r="G109" t="s">
        <v>32</v>
      </c>
      <c r="H109">
        <v>15</v>
      </c>
      <c r="I109" s="4">
        <v>7283</v>
      </c>
      <c r="J109" s="4">
        <v>5000</v>
      </c>
      <c r="K109" s="4">
        <f>Table1[[#This Row],[S.P / UNIT]]*Table1[[#This Row],[Units Sold]]</f>
        <v>109245</v>
      </c>
      <c r="L109" s="4">
        <f>Table1[[#This Row],[C.P / UNIT]]*Table1[[#This Row],[Units Sold]]</f>
        <v>75000</v>
      </c>
      <c r="M109" s="4">
        <f>Table1[[#This Row],[Sales Amount]]-Table1[[#This Row],[TOTAL COST WHEN BOUGHT]]</f>
        <v>34245</v>
      </c>
      <c r="N109" s="3">
        <f>Table1[[#This Row],[Profit]]/Table1[[#This Row],[Sales Amount]]</f>
        <v>0.31346972401482903</v>
      </c>
    </row>
    <row r="110" spans="1:14" x14ac:dyDescent="0.3">
      <c r="A110" s="7">
        <v>46075</v>
      </c>
      <c r="B110" t="s">
        <v>12</v>
      </c>
      <c r="C110" t="s">
        <v>17</v>
      </c>
      <c r="D110" t="s">
        <v>21</v>
      </c>
      <c r="E110" t="s">
        <v>24</v>
      </c>
      <c r="F110" t="s">
        <v>28</v>
      </c>
      <c r="G110" t="s">
        <v>32</v>
      </c>
      <c r="H110">
        <v>7</v>
      </c>
      <c r="I110" s="4">
        <v>3627</v>
      </c>
      <c r="J110" s="4">
        <v>2505</v>
      </c>
      <c r="K110" s="4">
        <f>Table1[[#This Row],[S.P / UNIT]]*Table1[[#This Row],[Units Sold]]</f>
        <v>25389</v>
      </c>
      <c r="L110" s="4">
        <f>Table1[[#This Row],[C.P / UNIT]]*Table1[[#This Row],[Units Sold]]</f>
        <v>17535</v>
      </c>
      <c r="M110" s="4">
        <f>Table1[[#This Row],[Sales Amount]]-Table1[[#This Row],[TOTAL COST WHEN BOUGHT]]</f>
        <v>7854</v>
      </c>
      <c r="N110" s="3">
        <f>Table1[[#This Row],[Profit]]/Table1[[#This Row],[Sales Amount]]</f>
        <v>0.30934656741108352</v>
      </c>
    </row>
    <row r="111" spans="1:14" x14ac:dyDescent="0.3">
      <c r="A111" s="7">
        <v>46207</v>
      </c>
      <c r="B111" t="s">
        <v>14</v>
      </c>
      <c r="C111" t="s">
        <v>18</v>
      </c>
      <c r="D111" t="s">
        <v>21</v>
      </c>
      <c r="E111" t="s">
        <v>24</v>
      </c>
      <c r="F111" t="s">
        <v>29</v>
      </c>
      <c r="G111" t="s">
        <v>32</v>
      </c>
      <c r="H111">
        <v>1</v>
      </c>
      <c r="I111" s="4">
        <v>12677</v>
      </c>
      <c r="J111" s="4">
        <v>8088</v>
      </c>
      <c r="K111" s="4">
        <f>Table1[[#This Row],[S.P / UNIT]]*Table1[[#This Row],[Units Sold]]</f>
        <v>12677</v>
      </c>
      <c r="L111" s="4">
        <f>Table1[[#This Row],[C.P / UNIT]]*Table1[[#This Row],[Units Sold]]</f>
        <v>8088</v>
      </c>
      <c r="M111" s="4">
        <f>Table1[[#This Row],[Sales Amount]]-Table1[[#This Row],[TOTAL COST WHEN BOUGHT]]</f>
        <v>4589</v>
      </c>
      <c r="N111" s="3">
        <f>Table1[[#This Row],[Profit]]/Table1[[#This Row],[Sales Amount]]</f>
        <v>0.36199416265677997</v>
      </c>
    </row>
    <row r="112" spans="1:14" x14ac:dyDescent="0.3">
      <c r="A112" s="7">
        <v>46216</v>
      </c>
      <c r="B112" t="s">
        <v>14</v>
      </c>
      <c r="C112" t="s">
        <v>18</v>
      </c>
      <c r="D112" t="s">
        <v>23</v>
      </c>
      <c r="E112" t="s">
        <v>26</v>
      </c>
      <c r="F112" t="s">
        <v>28</v>
      </c>
      <c r="G112" t="s">
        <v>31</v>
      </c>
      <c r="H112">
        <v>15</v>
      </c>
      <c r="I112" s="4">
        <v>10004</v>
      </c>
      <c r="J112" s="4">
        <v>7304</v>
      </c>
      <c r="K112" s="4">
        <f>Table1[[#This Row],[S.P / UNIT]]*Table1[[#This Row],[Units Sold]]</f>
        <v>150060</v>
      </c>
      <c r="L112" s="4">
        <f>Table1[[#This Row],[C.P / UNIT]]*Table1[[#This Row],[Units Sold]]</f>
        <v>109560</v>
      </c>
      <c r="M112" s="4">
        <f>Table1[[#This Row],[Sales Amount]]-Table1[[#This Row],[TOTAL COST WHEN BOUGHT]]</f>
        <v>40500</v>
      </c>
      <c r="N112" s="3">
        <f>Table1[[#This Row],[Profit]]/Table1[[#This Row],[Sales Amount]]</f>
        <v>0.26989204318272692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INSIGHTS</vt:lpstr>
      <vt:lpstr>CHART</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DhivyaaSuresh</dc:creator>
  <cp:lastModifiedBy>dhivyaa s</cp:lastModifiedBy>
  <cp:lastPrinted>2026-05-25T10:22:42Z</cp:lastPrinted>
  <dcterms:created xsi:type="dcterms:W3CDTF">2026-04-09T14:32:10Z</dcterms:created>
  <dcterms:modified xsi:type="dcterms:W3CDTF">2026-06-22T14:34:01Z</dcterms:modified>
</cp:coreProperties>
</file>